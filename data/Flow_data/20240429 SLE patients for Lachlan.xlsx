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nahhu/Library/CloudStorage/OneDrive-UNSW/Documents/phd/SIDNI/LachlanGraySLE/"/>
    </mc:Choice>
  </mc:AlternateContent>
  <xr:revisionPtr revIDLastSave="0" documentId="13_ncr:1_{CB356E01-8315-CC4C-9B08-0F8A6042AEC8}" xr6:coauthVersionLast="47" xr6:coauthVersionMax="47" xr10:uidLastSave="{00000000-0000-0000-0000-000000000000}"/>
  <bookViews>
    <workbookView xWindow="7880" yWindow="-19880" windowWidth="25540" windowHeight="17500" xr2:uid="{00000000-000D-0000-FFFF-FFFF00000000}"/>
  </bookViews>
  <sheets>
    <sheet name="SYMPHONY" sheetId="1" r:id="rId1"/>
    <sheet name="Whole cohort SYMPHONY" sheetId="4" r:id="rId2"/>
    <sheet name="Tregs" sheetId="3" r:id="rId3"/>
  </sheets>
  <definedNames>
    <definedName name="_xlnm._FilterDatabase" localSheetId="0" hidden="1">SYMPHONY!$A$1:$JK$65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" i="1" l="1"/>
  <c r="U10" i="1"/>
  <c r="U7" i="1"/>
  <c r="U6" i="1"/>
  <c r="E2" i="1"/>
  <c r="E3" i="1"/>
  <c r="E4" i="1"/>
  <c r="E5" i="1"/>
  <c r="E8" i="1"/>
  <c r="E9" i="1"/>
  <c r="U5" i="1"/>
  <c r="U8" i="1"/>
  <c r="U9" i="1"/>
  <c r="U2" i="1"/>
  <c r="U3" i="1"/>
  <c r="U4" i="1"/>
  <c r="EK1048483" i="1"/>
  <c r="EH1048483" i="1" l="1"/>
</calcChain>
</file>

<file path=xl/sharedStrings.xml><?xml version="1.0" encoding="utf-8"?>
<sst xmlns="http://schemas.openxmlformats.org/spreadsheetml/2006/main" count="1288" uniqueCount="523">
  <si>
    <t>REDCap ID</t>
  </si>
  <si>
    <t>Disease group</t>
  </si>
  <si>
    <t>Name Code   i.e. John Smith = JO-SM</t>
  </si>
  <si>
    <t>Date of birth</t>
  </si>
  <si>
    <t>Biological gender</t>
  </si>
  <si>
    <t>ANA result (pattern and titre) i.e. homogeneous 1:80</t>
  </si>
  <si>
    <t>Constitutional - Fever</t>
  </si>
  <si>
    <t>Haematologic highest weighted criterion score</t>
  </si>
  <si>
    <t>Neuropsychiatric highest weighted criterion score</t>
  </si>
  <si>
    <t>Mucocutaneous highest weighted criterion score</t>
  </si>
  <si>
    <t>Serosal highest weighted criterion score</t>
  </si>
  <si>
    <t>Renal highest weighted criterion score</t>
  </si>
  <si>
    <t>Antiphospholipid antibodies - Anti-cardiolipin antibodies OR Anti-beta2GP1 antibodies OR Lupus anticoagulant</t>
  </si>
  <si>
    <t>Complement proteins highest weighted criterion score</t>
  </si>
  <si>
    <t>SLE-specific antibodies - Anti-dsDNA antibody* OR anti-Smith antibody</t>
  </si>
  <si>
    <t>EULAR/ACR Total Score</t>
  </si>
  <si>
    <t>Vasculitis</t>
  </si>
  <si>
    <t>SLEDAI-2k score</t>
  </si>
  <si>
    <t>Date of SLE diagnosis</t>
  </si>
  <si>
    <t>Predniso(lo)ne dose (mg/day)</t>
  </si>
  <si>
    <t>Predniso(lo)ne date initiated</t>
  </si>
  <si>
    <t>Corticosteroid (non oral)</t>
  </si>
  <si>
    <t>Corticosteroid (non oral) please specify:</t>
  </si>
  <si>
    <t>Corticosteroid (non oral) dose</t>
  </si>
  <si>
    <t>Corticosteroid (non oral) date initiated</t>
  </si>
  <si>
    <t>Hydroxychloroquine</t>
  </si>
  <si>
    <t>Hydroxychloroquine dose (mg/day)</t>
  </si>
  <si>
    <t>Hydroxychloroquine date initiated</t>
  </si>
  <si>
    <t>Azathioprine</t>
  </si>
  <si>
    <t>Azathioprine dose (mg/day)</t>
  </si>
  <si>
    <t>Cyclosporine</t>
  </si>
  <si>
    <t>Cyclosporine dose (mg/day)</t>
  </si>
  <si>
    <t>Cyclophosphamide</t>
  </si>
  <si>
    <t>Leflunomide</t>
  </si>
  <si>
    <t>6-Mercaptopurine (6-MP)</t>
  </si>
  <si>
    <t>Methotrexate</t>
  </si>
  <si>
    <t>Methotrexate dose (mg/wk)</t>
  </si>
  <si>
    <t>Mycophenolate mofetil</t>
  </si>
  <si>
    <t>Mycophenolate mofetil dose (mg/day)</t>
  </si>
  <si>
    <t>Mycophenolic acid</t>
  </si>
  <si>
    <t>Mycophenolic acid dose (mg/day)</t>
  </si>
  <si>
    <t>Sulfasalazine</t>
  </si>
  <si>
    <t>Sulfasalazine dose (mg/day)</t>
  </si>
  <si>
    <t>Belimumab</t>
  </si>
  <si>
    <t>Belimumab dose (cumulative)</t>
  </si>
  <si>
    <t>Rituximab</t>
  </si>
  <si>
    <t>Sirolimus</t>
  </si>
  <si>
    <t>Sirolimus dose</t>
  </si>
  <si>
    <t>Tacrolimus</t>
  </si>
  <si>
    <t>Tacrolimus dose</t>
  </si>
  <si>
    <t>Other</t>
  </si>
  <si>
    <t>Other, dose</t>
  </si>
  <si>
    <t>Current medications for non-lupus conditions (include dose and date initiated)</t>
  </si>
  <si>
    <t>Predniso(lo)ne &gt;/= 15mg, dose (mg/day)</t>
  </si>
  <si>
    <t>Predniso(lo)ne &gt;/= 15mg, date range</t>
  </si>
  <si>
    <t>Predniso(lo)ne &lt; 15 mg</t>
  </si>
  <si>
    <t>Predniso(lo)ne &lt; 15mg, dose (mg/day)</t>
  </si>
  <si>
    <t>Predniso(lo)ne &lt; 15mg, date range</t>
  </si>
  <si>
    <t>Corticosteroid (non oral), please specify</t>
  </si>
  <si>
    <t>Corticosteroid (non oral), dose</t>
  </si>
  <si>
    <t>Corticosteroid (non oral), date range</t>
  </si>
  <si>
    <t>Hydroxychloroquine date range</t>
  </si>
  <si>
    <t>Azathioprine date range</t>
  </si>
  <si>
    <t>Cyclosporine date range</t>
  </si>
  <si>
    <t>Cyclophosphamide dose (mg/day if PO) or cumulative dose (if IV)</t>
  </si>
  <si>
    <t>Cyclophosphamide date range</t>
  </si>
  <si>
    <t>Leflunomide dose</t>
  </si>
  <si>
    <t>Leflunomide date range</t>
  </si>
  <si>
    <t>6-Mercaptopurine (6-MP) dose (mg/day)</t>
  </si>
  <si>
    <t>6-Mercaptopurine (6-MP) date range</t>
  </si>
  <si>
    <t>Methotrexate date range</t>
  </si>
  <si>
    <t>Mycophenolate mofetil date range</t>
  </si>
  <si>
    <t>Mycophenolic acid date range</t>
  </si>
  <si>
    <t>Sulfasalazine date range</t>
  </si>
  <si>
    <t>Belimumab date range and interval between doses</t>
  </si>
  <si>
    <t>Rituximab dose (cumulative dose)</t>
  </si>
  <si>
    <t>Rituximab date range and interval between doses</t>
  </si>
  <si>
    <t>Sirolimus date range</t>
  </si>
  <si>
    <t>Tacrolimus date range</t>
  </si>
  <si>
    <t>Other, please specify:</t>
  </si>
  <si>
    <t>Other, date range</t>
  </si>
  <si>
    <t>Diabetes (type 1)</t>
  </si>
  <si>
    <t>Diabetes (type 2)</t>
  </si>
  <si>
    <t>Last HbA1c (%) and date checked</t>
  </si>
  <si>
    <t>Renal disease</t>
  </si>
  <si>
    <t>What stage of kidney disease do you have?</t>
  </si>
  <si>
    <t>Lung disease</t>
  </si>
  <si>
    <t>Lung disease, please specify</t>
  </si>
  <si>
    <t>Other lung disease, please specify</t>
  </si>
  <si>
    <t>Vasculitis diagnosis and organs involved</t>
  </si>
  <si>
    <t>Antiphospholipid syndrome</t>
  </si>
  <si>
    <t>APLS antibody profile (choice=Lupus anticoagulant)</t>
  </si>
  <si>
    <t>APLS antibody profile (choice=Anticardiolipin antibody (IgG and/or IgM))</t>
  </si>
  <si>
    <t>APLS antibody profile (choice=Anti-beta2glycoprotein antibody (IgG and/or IgM))</t>
  </si>
  <si>
    <t>Other morbidities not already mentioned</t>
  </si>
  <si>
    <t>History of active tuberculosis? i.e. confirmed on CXR/culture/PCR</t>
  </si>
  <si>
    <t>Has the active TB been treated?</t>
  </si>
  <si>
    <t>What agents were used and for how long?</t>
  </si>
  <si>
    <t>Previous IGRA result</t>
  </si>
  <si>
    <t>Hepatitis B: core antibody positive?</t>
  </si>
  <si>
    <t>Treatment for Hep B?</t>
  </si>
  <si>
    <t>What agent for treatment of Hep B and at what dose?</t>
  </si>
  <si>
    <t>Hepatitis C</t>
  </si>
  <si>
    <t>Is/Was the Hep C treated?</t>
  </si>
  <si>
    <t>What agents were used? Dose and duration of treatment?</t>
  </si>
  <si>
    <t>Smoking history</t>
  </si>
  <si>
    <t>If smoker, what is the pack year?</t>
  </si>
  <si>
    <t>Date(s) of infection episode(s) (please write as: Episode 1 - mm/yyyy; Episode 2 - mm/yyyy etc)</t>
  </si>
  <si>
    <t>Pneumococcal</t>
  </si>
  <si>
    <t>Hepatitis B</t>
  </si>
  <si>
    <t>Chicken pox</t>
  </si>
  <si>
    <t>Zoster</t>
  </si>
  <si>
    <t>Flu vaccine in last 12 months</t>
  </si>
  <si>
    <t>COVID-19</t>
  </si>
  <si>
    <t>Which COVID-19 vaccine and how many doses?</t>
  </si>
  <si>
    <t>White cell count (x 109/L)</t>
  </si>
  <si>
    <t>Haemaglobin (g/L)</t>
  </si>
  <si>
    <t>Platelets (x 109/L)</t>
  </si>
  <si>
    <t>Monocytes (x 109/L)</t>
  </si>
  <si>
    <t>Eosinophils (x 109/L)</t>
  </si>
  <si>
    <t>Basophils (x 109/L)</t>
  </si>
  <si>
    <t>Urea (mmol/L)</t>
  </si>
  <si>
    <t>Creatinine (umol/L)</t>
  </si>
  <si>
    <t>eGFR (mL/min/1.73m2)</t>
  </si>
  <si>
    <t>ESR (mm/hr)</t>
  </si>
  <si>
    <t>CRP (mg/L)</t>
  </si>
  <si>
    <t>Immunoglobulin A (g/L)</t>
  </si>
  <si>
    <t>Immunoglobulin M (g/L)</t>
  </si>
  <si>
    <t>Subclass IgG1 (g/L)</t>
  </si>
  <si>
    <t>Subclass IgG2 (g/L)</t>
  </si>
  <si>
    <t>Subclass IgG3 (g/L)</t>
  </si>
  <si>
    <t>Subclass IgG4 (g/L)</t>
  </si>
  <si>
    <t>CD45 positive (%)</t>
  </si>
  <si>
    <t>CD3 (x 109/L)</t>
  </si>
  <si>
    <t>CD19 (x 109/L)</t>
  </si>
  <si>
    <t>Ratio CD4:CD8</t>
  </si>
  <si>
    <t>CD3 and CD4 positive (x 109/L)</t>
  </si>
  <si>
    <t>CD3 and CD8 positive (x 109/L)</t>
  </si>
  <si>
    <t>CD3 negative CD56CD16 positive (x 109/L)</t>
  </si>
  <si>
    <t>dsDNA IgG (IU/ml)</t>
  </si>
  <si>
    <t>dsDNA assay method (if known)</t>
  </si>
  <si>
    <t>Complement C3 (g/L)</t>
  </si>
  <si>
    <t>Complement C4 (g/L)</t>
  </si>
  <si>
    <t>Rheumatoid factor (IU/mL)</t>
  </si>
  <si>
    <t>Anti-CCP Antibody (U/mL)</t>
  </si>
  <si>
    <t>Hepatitis B surface Ag</t>
  </si>
  <si>
    <t>Hepatitis B surface Ab</t>
  </si>
  <si>
    <t>Hepatitis B core Ab</t>
  </si>
  <si>
    <t>QuantiFERON-TB Gold/ Interferon Gamma Release Assay</t>
  </si>
  <si>
    <t>Strongyloides IgG</t>
  </si>
  <si>
    <t>Pneumococcal Ab</t>
  </si>
  <si>
    <t>Varicella zoster Ab</t>
  </si>
  <si>
    <t>Urine red blood cell count (x 106/L)</t>
  </si>
  <si>
    <t>Presence of granular or red cell casts</t>
  </si>
  <si>
    <t>Urine protein excretion from 24h</t>
  </si>
  <si>
    <t>Urine protein:creatinine ratio (g/mmol)</t>
  </si>
  <si>
    <t>Urine albumin:creatinine ratio (mg/mmol)</t>
  </si>
  <si>
    <t>Urine creatinine excretion from 24h</t>
  </si>
  <si>
    <t>Notes</t>
  </si>
  <si>
    <t>SLE participant</t>
  </si>
  <si>
    <t>Yes</t>
  </si>
  <si>
    <t>Unchecked</t>
  </si>
  <si>
    <t>Checked</t>
  </si>
  <si>
    <t>Male</t>
  </si>
  <si>
    <t>Not Present</t>
  </si>
  <si>
    <t>Present</t>
  </si>
  <si>
    <t>2g</t>
  </si>
  <si>
    <t>No</t>
  </si>
  <si>
    <t>Never</t>
  </si>
  <si>
    <t>Female</t>
  </si>
  <si>
    <t>Methylprednisolone</t>
  </si>
  <si>
    <t>6g</t>
  </si>
  <si>
    <t>2 Pfizer</t>
  </si>
  <si>
    <t>ELISA</t>
  </si>
  <si>
    <t>Previous</t>
  </si>
  <si>
    <t>RIA</t>
  </si>
  <si>
    <t>3g</t>
  </si>
  <si>
    <t>3 Pfizer</t>
  </si>
  <si>
    <t>&gt;90</t>
  </si>
  <si>
    <t>homogeneous &gt;1:1280</t>
  </si>
  <si>
    <t>12/2015-06/2016</t>
  </si>
  <si>
    <t>2019-06/2021</t>
  </si>
  <si>
    <t>2 Pfizer 1 Moderna</t>
  </si>
  <si>
    <t>4g</t>
  </si>
  <si>
    <t>Bactrim DS 3x/weekly  Calcium  Vitamin D</t>
  </si>
  <si>
    <t>50 from Jan 2019 weaned till June 2020</t>
  </si>
  <si>
    <t xml:space="preserve">Jan 2018-July 2018; </t>
  </si>
  <si>
    <t>April 2018-November 2018</t>
  </si>
  <si>
    <t>January 2020 - May 2020</t>
  </si>
  <si>
    <t>Iron deficiency anaemia</t>
  </si>
  <si>
    <t>indeterminate</t>
  </si>
  <si>
    <t>Ig levels from 6/4/2018  Urine 24hr protein excretion 0.34g/day</t>
  </si>
  <si>
    <t>Interstitial lung disease</t>
  </si>
  <si>
    <t>&lt;13</t>
  </si>
  <si>
    <t>speckled 1:640</t>
  </si>
  <si>
    <t>Bactrim DS 3 x weekly  Perindopril 2.5 mg daily</t>
  </si>
  <si>
    <t>Oct 2016-Oct 2017</t>
  </si>
  <si>
    <t>Oct 2017-Aug 2021</t>
  </si>
  <si>
    <t>2016 and 2020</t>
  </si>
  <si>
    <t>February 2016-September 2016</t>
  </si>
  <si>
    <t>January 2017-January 2021</t>
  </si>
  <si>
    <t>Spontaneous Rupture (R) Achilles tendon 2017</t>
  </si>
  <si>
    <t>Episode 1 - February 2019  Episode 2 - June 2021  Episode 3 - August 2021  Episode 4 - December 2021  Episode 5 - May 2022</t>
  </si>
  <si>
    <t>homogeneous 1:40; speckled 1:160</t>
  </si>
  <si>
    <t>Episode 1 - March 2022</t>
  </si>
  <si>
    <t>4 Pfizer</t>
  </si>
  <si>
    <t>homogeneous 1:40; speckled 1:640 (Sm, RNP, SSA Ro60)</t>
  </si>
  <si>
    <t>folic acid 10mg weekly</t>
  </si>
  <si>
    <t>45-5mg</t>
  </si>
  <si>
    <t>Nov 2010- 5mg Dec 2012-5mg 2014</t>
  </si>
  <si>
    <t>2011-2014 (down to 200mg)</t>
  </si>
  <si>
    <t>Episode 1 - 2019  Episode 2 - 05/2022</t>
  </si>
  <si>
    <t>&lt;0.6</t>
  </si>
  <si>
    <t>homogeneous 1&gt;1280</t>
  </si>
  <si>
    <t>Amoxicillin or fluconazole allergy  GORD  Recurrent vaginal thrush</t>
  </si>
  <si>
    <t>Episode 1 - 04/2021  Episode 2 - 07/2021  Episode 3 - 03/2022  Episode 4 - 08/2022</t>
  </si>
  <si>
    <t>Ethnicity</t>
  </si>
  <si>
    <t>East Asia</t>
  </si>
  <si>
    <t>Southern Europe/Australian</t>
  </si>
  <si>
    <t>North West European</t>
  </si>
  <si>
    <t>South East Asia</t>
  </si>
  <si>
    <t>South America</t>
  </si>
  <si>
    <t>South Asia</t>
  </si>
  <si>
    <t>Duration of SLE diagnosis</t>
  </si>
  <si>
    <t>Current other meds number</t>
  </si>
  <si>
    <t>Antibiotic prophylaxis</t>
  </si>
  <si>
    <t>Predniso(lo)ne &lt;15mg, dose (mg/day)</t>
  </si>
  <si>
    <t>Number of infections</t>
  </si>
  <si>
    <t>Infection organisms</t>
  </si>
  <si>
    <t>Coronavirus</t>
  </si>
  <si>
    <t>Varicella</t>
  </si>
  <si>
    <t>EENT</t>
  </si>
  <si>
    <t>LRTI</t>
  </si>
  <si>
    <t>Urinary tract</t>
  </si>
  <si>
    <t>Skin and soft tissue</t>
  </si>
  <si>
    <t>Blood</t>
  </si>
  <si>
    <t>Gastrointestinal</t>
  </si>
  <si>
    <t>Unknown organism</t>
  </si>
  <si>
    <t>E coli</t>
  </si>
  <si>
    <t>COVID</t>
  </si>
  <si>
    <t>Candida Varicella COVID Influenza</t>
  </si>
  <si>
    <t>Reproductive tract</t>
  </si>
  <si>
    <t>Bone and joint</t>
  </si>
  <si>
    <t>CNS</t>
  </si>
  <si>
    <t>Hypogammaglobulinaemic</t>
  </si>
  <si>
    <t>Neutropaenic</t>
  </si>
  <si>
    <t>Lymphopaenic</t>
  </si>
  <si>
    <t>Number of COVID vaccines</t>
  </si>
  <si>
    <t>Neutrophils (x 109/L) (2.0)</t>
  </si>
  <si>
    <t>Lymphocytes (x 109/L) (1.0)</t>
  </si>
  <si>
    <t>Immunoglobulin G (g/L) (6.3)</t>
  </si>
  <si>
    <t>FSC-A, Time subset/Single Cells/Lymphocytes/Live cells/T cells/NKT-/MAIT-/Vab/CD4+ T cells/Non t regs/Tfh/Th17 | Freq. of Parent</t>
  </si>
  <si>
    <t>FSC-A, Time subset/Single Cells/Lymphocytes/Live cells/T cells/NKT-/MAIT-/Vab/CD8+ T cells | Freq. of Live cells</t>
  </si>
  <si>
    <t>FSC-A, Time subset/Single Cells/Lymphocytes/Live cells/T cells/NKT-/MAIT-/Vab/CD8+ T cells/Central memory | Freq. of Parent</t>
  </si>
  <si>
    <t>FSC-A, Time subset/Single Cells/Lymphocytes/Live cells/T cells/NKT-/MAIT-/Vab/CD8+ T cells/Effector memory | Freq. of Parent</t>
  </si>
  <si>
    <t>FSC-A, Time subset/Single Cells/Lymphocytes/Live cells/T cells/NKT-/MAIT-/Vab/CD8+ T cells/EMRA | Freq. of Parent</t>
  </si>
  <si>
    <t>FSC-A, Time subset/Single Cells/Lymphocytes/Live cells/T cells/NKT-/MAIT-/Vab/CD8+ T cells/Naive | Freq. of Parent</t>
  </si>
  <si>
    <t>Age</t>
  </si>
  <si>
    <t>Current prednisone</t>
  </si>
  <si>
    <t>Cyclophosphamide ever</t>
  </si>
  <si>
    <t>No of total immunosuppressants</t>
  </si>
  <si>
    <t>Sample names</t>
  </si>
  <si>
    <t>FSC-A, Time subset/Single Cells/Lymphocytes/Live cells/Nk cells/Q1: CD57_BB630- , CD56_BB790+ | Freq. of Parent</t>
  </si>
  <si>
    <t>Single cells/Lymphocytes/Live cells/NK cells | Freq. of Parent</t>
  </si>
  <si>
    <t>Single cells/Lymphocytes/Live cells/NK cells/Q2: CD57_BB630+ , CD56_BB790+ | Freq. of Parent</t>
  </si>
  <si>
    <t>Single cells/Lymphocytes/Live cells/NK cells/Q4: CD57_BB630- , CD56_BB790- | Freq. of Parent</t>
  </si>
  <si>
    <t>Single cells/Lymphocytes/Live cells/NK cells/Q3: CD57_BB630+ , CD56_BB790- | Freq. of Parent</t>
  </si>
  <si>
    <t>Single cells/Lymphocytes/Live cells/T cells | Freq. of Parent</t>
  </si>
  <si>
    <t>Single cells/Lymphocytes/Live cells/T cells/NKT  | Freq. of Grandparent</t>
  </si>
  <si>
    <t>Single cells/Lymphocytes/Live cells/T cells/NKT -/MAIT | Freq. of Grandparent</t>
  </si>
  <si>
    <t>Single cells/Lymphocytes/Live cells/T cells/NKT -/MAIT-/Vgd | Freq. of Live cells</t>
  </si>
  <si>
    <t>Single cells/Lymphocytes/Live cells/T cells/NKT -/MAIT-/Vab | Freq. of Live cells</t>
  </si>
  <si>
    <t>Single cells/Lymphocytes/Live cells/T cells/NKT -/MAIT-/Vab/CD4+ | Freq. of Live cells</t>
  </si>
  <si>
    <t>Single cells/Lymphocytes/Live cells/T cells/NKT -/MAIT-/Vab/CD4+/Treg | Freq. of Parent</t>
  </si>
  <si>
    <t>Single cells/Lymphocytes/Live cells/T cells/NKT -/MAIT-/Vab/CD4+/Non Treg/Naive | Freq. of Grandparent</t>
  </si>
  <si>
    <t>Single cells/Lymphocytes/Live cells/T cells/NKT -/MAIT-/Vab/CD4+/Non Treg/Central memory | Freq. of Grandparent</t>
  </si>
  <si>
    <t>Single cells/Lymphocytes/Live cells/T cells/NKT -/MAIT-/Vab/CD4+/Non Treg/Effector memory | Freq. of Grandparent</t>
  </si>
  <si>
    <t>Single cells/Lymphocytes/Live cells/T cells/NKT -/MAIT-/Vab/CD4+/Non Treg/Memory | Freq. of Grandparent</t>
  </si>
  <si>
    <t>Single cells/Lymphocytes/Live cells/T cells/NKT -/MAIT-/Vab/CD4+/Non Treg/Memory/double neg | Freq. of Parent</t>
  </si>
  <si>
    <t>Single cells/Lymphocytes/Live cells/T cells/NKT -/MAIT-/Vab/CD4+/Non Treg/Memory/double pos | Freq. of Parent</t>
  </si>
  <si>
    <t>Single cells/Lymphocytes/Live cells/T cells/NKT -/MAIT-/Vab/CD4+/Non Treg/Memory/Th1 | Freq. of Parent</t>
  </si>
  <si>
    <t>Single cells/Lymphocytes/Live cells/T cells/NKT -/MAIT-/Vab/CD4+/Non Treg/Memory/Th17 | Freq. of Parent</t>
  </si>
  <si>
    <t>Single cells/Lymphocytes/Live cells/T cells/NKT -/MAIT-/Vab/CD4+/Non Treg/Naive 2 | Freq. of Grandparent</t>
  </si>
  <si>
    <t>Single cells/Lymphocytes/Live cells/T cells/NKT -/MAIT-/Vab/CD4+/Non Treg/Tfh | Freq. of Grandparent</t>
  </si>
  <si>
    <t>Single cells/Lymphocytes/Live cells/T cells/NKT -/MAIT-/Vab/CD4+/Non Treg/Tfh/double neg | Freq. of Parent</t>
  </si>
  <si>
    <t>Single cells/Lymphocytes/Live cells/T cells/NKT -/MAIT-/Vab/CD4+/Non Treg/Tfh/double pos | Freq. of Parent</t>
  </si>
  <si>
    <t>Single cells/Lymphocytes/Live cells/T cells/NKT -/MAIT-/Vab/CD4+/Non Treg/Tfh/Tfh1 | Freq. of Parent</t>
  </si>
  <si>
    <t>Single cells/Lymphocytes/Live cells/B cells | Freq. of Parent</t>
  </si>
  <si>
    <t>Single cells/Lymphocytes/Live cells/B cells/CD21lo | Freq. of Parent</t>
  </si>
  <si>
    <t>Single cells/Lymphocytes/Live cells/B cells/B cells/Memory | Freq. of Grandparent</t>
  </si>
  <si>
    <t>Single cells/Lymphocytes/Live cells/B cells/B cells/Naive | Freq. of Grandparent</t>
  </si>
  <si>
    <t>Single cells/Lymphocytes/Live cells/B cells/B cells/Transitional | Freq. of Grandparent</t>
  </si>
  <si>
    <t>Single cells/Lymphocytes/Live cells/B cells/B cells/Memory/IgA+ | Freq. of Parent</t>
  </si>
  <si>
    <t>Single cells/Lymphocytes/Live cells/B cells/B cells/Memory/IgG+ | Freq. of Parent</t>
  </si>
  <si>
    <t>Single cells/Lymphocytes/Live cells/B cells/B cells/Naive/IgA+ | Freq. of Parent</t>
  </si>
  <si>
    <t>Single cells/Lymphocytes/Live cells/B cells/B cells/Naive/IgG+ | Freq. of Parent</t>
  </si>
  <si>
    <t>Single cells/Lymphocytes/Live cells/B cells/B cells/Transitional/IgA+ | Freq. of Parent</t>
  </si>
  <si>
    <t>Single cells/Lymphocytes/Live cells/B cells/B cells/Transitional/IgG+ | Freq. of Parent</t>
  </si>
  <si>
    <t>Single cells/Lymphocytes/Live cells/B cells/B cells/Naive/Q2: IgM_APC-R700+ , IgD_BV480+ | Freq. of Parent</t>
  </si>
  <si>
    <t>Single cells/Lymphocytes/Live cells/B cells/B cells/Naive/Q1: IgM_APC-R700- , IgD_BV480+ | Freq. of Parent</t>
  </si>
  <si>
    <t>Single cells/Lymphocytes/Live cells/B cells/B cells/Naive/Q4: IgM_APC-R700- , IgD_BV480- | Freq. of Parent</t>
  </si>
  <si>
    <t>Single cells/Lymphocytes/Live cells/B cells/B cells/Transitional/Q2: IgM_APC-R700+ , IgD_BV480+ | Freq. of Parent</t>
  </si>
  <si>
    <t>Single cells/Lymphocytes/Live cells/B cells/B cells/Transitional/Q1: IgM_APC-R700- , IgD_BV480+ | Freq. of Parent</t>
  </si>
  <si>
    <t>Single cells/Lymphocytes/Live cells/B cells/B cells/Memory/Q2: IgM_APC-R700+ , IgD_BV480+ | Freq. of Parent</t>
  </si>
  <si>
    <t>Single cells/Lymphocytes/Live cells/B cells/B cells/Memory/Q3: IgM_APC-R700+ , IgD_BV480- | Freq. of Parent</t>
  </si>
  <si>
    <t>Single cells/Lymphocytes/Live cells/B cells/B cells/Memory/Q4: IgM_APC-R700- , IgD_BV480- | Freq. of Parent</t>
  </si>
  <si>
    <t>Single cells/Lymphocytes/Live cells/T cells/NKT -/MAIT-/Vab/CD8+/Naive /CD57+ | Freq. of Parent</t>
  </si>
  <si>
    <t>Single cells/Lymphocytes/Live cells/T cells/NKT -/MAIT-/Vab/CD8+/Central memory/CD57+ | Freq. of Parent</t>
  </si>
  <si>
    <t>Single cells/Lymphocytes/Live cells/T cells/NKT -/MAIT-/Vab/CD8+/Effector memory/CD57+ | Freq. of Parent</t>
  </si>
  <si>
    <t>Single cells/Lymphocytes/Live cells/T cells/NKT -/MAIT-/Vab/CD8+/EMRA/CD57+ | Freq. of Parent</t>
  </si>
  <si>
    <t>Single cells/Lymphocytes/Live cells/T cells/NKT -/MAIT-/Vab/CD4+/Non Treg/Naive 2/CD57+ | Freq. of Parent</t>
  </si>
  <si>
    <t>Single cells/Lymphocytes/Live cells/T cells/NKT -/MAIT-/Vab/CD4+/Non Treg/Central memory/CD57+ | Freq. of Parent</t>
  </si>
  <si>
    <t>Single cells/Lymphocytes/Live cells/T cells/NKT -/MAIT-/Vab/CD4+/Non Treg/Effector memory/CD57+ | Freq. of Parent</t>
  </si>
  <si>
    <t>Single cells/Lymphocytes/Live cells/T cells/NKT -/MAIT-/Vab/CD4+/Non Treg/Naive | Geometric Mean (PD1_BUV661)</t>
  </si>
  <si>
    <t>Single cells/Lymphocytes/Live cells/T cells/NKT -/MAIT-/Vab/CD4+/Non Treg/Memory | Geometric Mean (PD1_BUV661)</t>
  </si>
  <si>
    <t>Single cells/Lymphocytes/Live cells/T cells/NKT -/MAIT-/Vab/CD4+/Non Treg/Tfh | Geometric Mean (PD1_BUV661)</t>
  </si>
  <si>
    <t>Single cells/Lymphocytes/Live cells/T cells/NKT -/MAIT-/Vab/CD8+/Central memory | Geometric Mean (PD1_BUV661)</t>
  </si>
  <si>
    <t>Single cells/Lymphocytes/Live cells/T cells/NKT -/MAIT-/Vab/CD8+/Effector memory | Geometric Mean (PD1_BUV661)</t>
  </si>
  <si>
    <t>Single cells/Lymphocytes/Live cells/T cells/NKT -/MAIT-/Vab/CD8+/EMRA | Geometric Mean (PD1_BUV661)</t>
  </si>
  <si>
    <t>Single cells/Lymphocytes/Live cells/T cells/NKT -/MAIT-/Vab/CD8+/Naive  | Geometric Mean (PD1_BUV661)</t>
  </si>
  <si>
    <t>Cardiovascular</t>
  </si>
  <si>
    <t>1:2560 homogeneous</t>
  </si>
  <si>
    <t xml:space="preserve">Vitamin D supplementation.  Fish oil alternate days  Nexium prn  Aspirin 100mg daily   Lipitor 80mg daily   Eliquis </t>
  </si>
  <si>
    <t>7 total:  1. Vitamin D deficiency  2. Hypercholesterolaemia  3. Patent foramen ovale with left to right shunt  4. Prev pulmonary TB 1974 (treated)  5. Chronic sinus tachycardia  6. ILD - NSIP pattern  7. CVA and thrombolysis 2021; TIA 2020</t>
  </si>
  <si>
    <t>streptomycin, isoniazid, pyrazinamide for 12 months (1974)</t>
  </si>
  <si>
    <t>Episode 1 - 12/2021 LRTI</t>
  </si>
  <si>
    <t>1 AZ 3 Pfizer</t>
  </si>
  <si>
    <t>speckled 1:640; nuclear membrane &gt;1:2560</t>
  </si>
  <si>
    <t>Thyroxine 150ug M-F, 100ug S/S</t>
  </si>
  <si>
    <t>50mg</t>
  </si>
  <si>
    <t>50mg (2002-2003) weaned; 25mg (2004-2005); 25mg (3 months 2018), 15mg (2020-2021)</t>
  </si>
  <si>
    <t>2mg/day</t>
  </si>
  <si>
    <t>Jan 2021-March 2021</t>
  </si>
  <si>
    <t>Autoimmune hepatitis and PBC overlap  Widespread lymphadenopathy - LN biopsy right axillary nodes 2019 demonstrating reactive follicular hyperplasia with focal areas of progressive transformation of germinal centers  Knee OA  Hashimoto's thyroiditis  Peanut anaphylaxis  Cholecystectomy</t>
  </si>
  <si>
    <t>1:320 homogeneous</t>
  </si>
  <si>
    <t>Vitamin D 1000units, OCP</t>
  </si>
  <si>
    <t>2  Iron deficiency anaemia (previously received iron infusion)   Vitamin D deficiency.</t>
  </si>
  <si>
    <t>Episode 1 -  01/2022</t>
  </si>
  <si>
    <t>3 Pfizer, 1 Novavax</t>
  </si>
  <si>
    <t>Igs done 2/7/2014</t>
  </si>
  <si>
    <t>speckled 1:160 MSA 1:160</t>
  </si>
  <si>
    <t>Thyroxine 75mcg, Paroxetine, Warfarin</t>
  </si>
  <si>
    <t>1981-02/2021</t>
  </si>
  <si>
    <t>Emphysema</t>
  </si>
  <si>
    <t xml:space="preserve">10 total  1.Mitral valve stenosis with valve replacement, on warfarin- likely cause of respiratory presentation several years ago- not c/w lupus lung  2.Hashimoto's thyroiditis, on thyroid replacement.  3.Emphysema, no longer smoking.  4.Anxiety.  5.GORD.  6.OSA.  7.Vitamin D deficiency.  8.Hypercholesterolaemia.  9. In Darwin had US: Fatty Liver  10. OA - total hip replacement Dec 2021 - refractured femur </t>
  </si>
  <si>
    <t>09/2022 - URTI  01/2022 - COVID  12/2019 - URTI (oral abx)</t>
  </si>
  <si>
    <t>AYMY SLE</t>
  </si>
  <si>
    <t>ELLI SLE</t>
  </si>
  <si>
    <t>ROTH SLE</t>
  </si>
  <si>
    <t>MAMU SLE</t>
  </si>
  <si>
    <t>Number of bacterial infections</t>
  </si>
  <si>
    <t>Number of viral infections</t>
  </si>
  <si>
    <t>Number of fungal infections</t>
  </si>
  <si>
    <t>Number of parasitic infections</t>
  </si>
  <si>
    <t>Number of hospitalisations for infection</t>
  </si>
  <si>
    <t>Number of mycobacterial infections</t>
  </si>
  <si>
    <t>Healthy controls</t>
  </si>
  <si>
    <t>CATJ HC</t>
  </si>
  <si>
    <t>NOMA HC</t>
  </si>
  <si>
    <t>LYBO HC</t>
  </si>
  <si>
    <t>MEFA HC</t>
  </si>
  <si>
    <t>MIFI HC</t>
  </si>
  <si>
    <t>STLE HC</t>
  </si>
  <si>
    <t>STRU HC</t>
  </si>
  <si>
    <t>STXI HC</t>
  </si>
  <si>
    <t>ALKI HC</t>
  </si>
  <si>
    <t>ARMU HC</t>
  </si>
  <si>
    <t>CLYO HC</t>
  </si>
  <si>
    <t>JENA HC</t>
  </si>
  <si>
    <t>KAKE HC</t>
  </si>
  <si>
    <t>MATA HC</t>
  </si>
  <si>
    <t>YAMA HC</t>
  </si>
  <si>
    <t>DOTS HC</t>
  </si>
  <si>
    <t>PAOY HC</t>
  </si>
  <si>
    <t>PITE HC</t>
  </si>
  <si>
    <t>SUME HC</t>
  </si>
  <si>
    <t>ANGU HC</t>
  </si>
  <si>
    <t>JAHE HC</t>
  </si>
  <si>
    <t>JUBI HC</t>
  </si>
  <si>
    <t>TING HC</t>
  </si>
  <si>
    <t>AIKI HC</t>
  </si>
  <si>
    <t>AMRU HC</t>
  </si>
  <si>
    <t>BESH HC</t>
  </si>
  <si>
    <t>ELDE HC</t>
  </si>
  <si>
    <t>JALO HC</t>
  </si>
  <si>
    <t>MAAR HC</t>
  </si>
  <si>
    <t>MERO HC</t>
  </si>
  <si>
    <t>SHSW HC</t>
  </si>
  <si>
    <t>SOJA HC</t>
  </si>
  <si>
    <t>YOSE HC</t>
  </si>
  <si>
    <t>CAWI HC</t>
  </si>
  <si>
    <t>DIAD HC</t>
  </si>
  <si>
    <t>ELTA HC</t>
  </si>
  <si>
    <t>GERA HC</t>
  </si>
  <si>
    <t>JEMO HC</t>
  </si>
  <si>
    <t>JOMA HC</t>
  </si>
  <si>
    <t>NABH HC</t>
  </si>
  <si>
    <t>PEBR HC</t>
  </si>
  <si>
    <t>YESA HC</t>
  </si>
  <si>
    <t>HELE HC</t>
  </si>
  <si>
    <t>KAPA HC</t>
  </si>
  <si>
    <t>PECR HC</t>
  </si>
  <si>
    <t>PEDY HC</t>
  </si>
  <si>
    <t>VIAR HC</t>
  </si>
  <si>
    <t>THFO HC</t>
  </si>
  <si>
    <t>ALCR HC</t>
  </si>
  <si>
    <t>PEDA HC</t>
  </si>
  <si>
    <t>JARO HC</t>
  </si>
  <si>
    <t>STTA HC</t>
  </si>
  <si>
    <t>ANMO HC</t>
  </si>
  <si>
    <t>SOSE SLE</t>
  </si>
  <si>
    <t>VADA SLE</t>
  </si>
  <si>
    <t>ARLO SLE</t>
  </si>
  <si>
    <t>AMYI SLE</t>
  </si>
  <si>
    <t>NGQU SLE</t>
  </si>
  <si>
    <t>HALA SLE</t>
  </si>
  <si>
    <t>Number of infections excluding COVID</t>
  </si>
  <si>
    <t>Number of infections excluding COVID and Strongyloides-H pylori</t>
  </si>
  <si>
    <t>Fungal infection</t>
  </si>
  <si>
    <t>Opportunistic infection</t>
  </si>
  <si>
    <t>Mycobacterial infection</t>
  </si>
  <si>
    <t>Number of viral infections excluding COVID</t>
  </si>
  <si>
    <t>From 10 since 30/6/2002</t>
  </si>
  <si>
    <t>STLE HC DOB 1985</t>
  </si>
  <si>
    <t>RABE HC</t>
  </si>
  <si>
    <t>JATO HC</t>
  </si>
  <si>
    <t>ARGI HC</t>
  </si>
  <si>
    <t>ALKA HC</t>
  </si>
  <si>
    <t>YLLI SLE</t>
  </si>
  <si>
    <t>YALI SLE</t>
  </si>
  <si>
    <t>WADI DC</t>
  </si>
  <si>
    <t>THVO SLE</t>
  </si>
  <si>
    <t>SAFR SLE</t>
  </si>
  <si>
    <t>LATR SLE</t>
  </si>
  <si>
    <t>KASA SLE</t>
  </si>
  <si>
    <t>CANI SLE</t>
  </si>
  <si>
    <t>AKKH SLE</t>
  </si>
  <si>
    <t>TRON SLE</t>
  </si>
  <si>
    <t>THTR (Sammy) SLE</t>
  </si>
  <si>
    <t>ROMA SLE</t>
  </si>
  <si>
    <t>ROKU SLE</t>
  </si>
  <si>
    <t>PHVO SLE</t>
  </si>
  <si>
    <t>JIRO SLE</t>
  </si>
  <si>
    <t>ANAY SLE</t>
  </si>
  <si>
    <t>BASH SLE</t>
  </si>
  <si>
    <t>AKAL SLE</t>
  </si>
  <si>
    <t>TOOU SLE</t>
  </si>
  <si>
    <t>LESE SLE</t>
  </si>
  <si>
    <t>JUDA SLE</t>
  </si>
  <si>
    <t>MIMO SLE</t>
  </si>
  <si>
    <t>MAChang SLE</t>
  </si>
  <si>
    <t>MAChauhan SLE</t>
  </si>
  <si>
    <t>JAMA SLE</t>
  </si>
  <si>
    <t>TAPU SLE</t>
  </si>
  <si>
    <t>SAAR SLE</t>
  </si>
  <si>
    <t>JEFA SLE</t>
  </si>
  <si>
    <t>IRVE SLE</t>
  </si>
  <si>
    <t>ALRA SLE</t>
  </si>
  <si>
    <t>SAMO SLE</t>
  </si>
  <si>
    <t>EVSH SLE</t>
  </si>
  <si>
    <t>SOSP SLE</t>
  </si>
  <si>
    <t>REGO SLE</t>
  </si>
  <si>
    <t>ALRO SLE</t>
  </si>
  <si>
    <t>BAFI SLE</t>
  </si>
  <si>
    <t>LEVA SLE</t>
  </si>
  <si>
    <t>HULE SLE</t>
  </si>
  <si>
    <t>KIAD SLE</t>
  </si>
  <si>
    <t>AMMI SLE</t>
  </si>
  <si>
    <t>THLE SLE</t>
  </si>
  <si>
    <t>LIAC SLE</t>
  </si>
  <si>
    <t>MAJE SLE</t>
  </si>
  <si>
    <t>DANG SLE</t>
  </si>
  <si>
    <t>VEMA SLE</t>
  </si>
  <si>
    <t>SAAB SLE</t>
  </si>
  <si>
    <t>STLE SLE</t>
  </si>
  <si>
    <t>RAAL SLE</t>
  </si>
  <si>
    <t>THVA SLE</t>
  </si>
  <si>
    <t>NGLU SLE</t>
  </si>
  <si>
    <t>AITO SLE</t>
  </si>
  <si>
    <t>MACR SLE</t>
  </si>
  <si>
    <t>SITE SLE</t>
  </si>
  <si>
    <t>FERO SLE</t>
  </si>
  <si>
    <t>LERE SLE</t>
  </si>
  <si>
    <t>TONG SLE</t>
  </si>
  <si>
    <t>JUFL SLE</t>
  </si>
  <si>
    <t>GLVI SLE</t>
  </si>
  <si>
    <t>ANMO SLE</t>
  </si>
  <si>
    <t>THNG SLE</t>
  </si>
  <si>
    <t>LYTA SLE</t>
  </si>
  <si>
    <t>BRBE SLE</t>
  </si>
  <si>
    <t>PHTR SLE</t>
  </si>
  <si>
    <t>DEZH SLE</t>
  </si>
  <si>
    <t>ALAS SLE</t>
  </si>
  <si>
    <t>THNG SLE DOB 1977</t>
  </si>
  <si>
    <t>ELNG SLE</t>
  </si>
  <si>
    <t>JASI SLE</t>
  </si>
  <si>
    <t>LAFA SLE</t>
  </si>
  <si>
    <t>BRLI SLE</t>
  </si>
  <si>
    <t>JEMA SLE</t>
  </si>
  <si>
    <t>SAVI SLE</t>
  </si>
  <si>
    <t>MAAR SLE</t>
  </si>
  <si>
    <t>TRNG SLE</t>
  </si>
  <si>
    <t>DOLE SLE</t>
  </si>
  <si>
    <t>CHLU SLE</t>
  </si>
  <si>
    <t>CHPA SLE</t>
  </si>
  <si>
    <t>KAJE SLE</t>
  </si>
  <si>
    <t>Tbet of Non Tregs</t>
  </si>
  <si>
    <t>Foxp3+ Treg as % of CD4</t>
  </si>
  <si>
    <t>CD25+ foxp3+ as % of CD4</t>
  </si>
  <si>
    <t>Treg</t>
  </si>
  <si>
    <t>Foxp3+</t>
  </si>
  <si>
    <t>Sample:</t>
  </si>
  <si>
    <t>KWPH SLE</t>
  </si>
  <si>
    <t>VIWO DC</t>
  </si>
  <si>
    <t>CAAM DC</t>
  </si>
  <si>
    <t>KRAS SLE</t>
  </si>
  <si>
    <t>THTR SLE (Sammy)</t>
  </si>
  <si>
    <t>DIHU SLE</t>
  </si>
  <si>
    <t>OMBE SLE</t>
  </si>
  <si>
    <t>MAMC SLE</t>
  </si>
  <si>
    <t>THTR SLE (1973)</t>
  </si>
  <si>
    <t>LIBU SLE</t>
  </si>
  <si>
    <t>MALU SLE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</si>
</sst>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14" fontId="0" fillId="0" borderId="0" xfId="0" applyNumberFormat="1"/>
    <xf numFmtId="17" fontId="0" fillId="0" borderId="0" xfId="0" applyNumberFormat="1"/>
    <xf numFmtId="1" fontId="0" fillId="0" borderId="0" xfId="0" applyNumberFormat="1"/>
    <xf numFmtId="0" fontId="18" fillId="0" borderId="0" xfId="0" applyFont="1"/>
    <xf numFmtId="0" fontId="0" fillId="33" borderId="0" xfId="0" applyFill="1"/>
    <xf numFmtId="11" fontId="0" fillId="0" borderId="0" xfId="0" applyNumberFormat="1"/>
    <xf numFmtId="0" fontId="0" fillId="34" borderId="0" xfId="0" applyFill="1"/>
    <xf numFmtId="14" fontId="0" fillId="34" borderId="0" xfId="0" applyNumberFormat="1" applyFill="1"/>
    <xf numFmtId="1" fontId="0" fillId="34" borderId="0" xfId="0" applyNumberFormat="1" applyFill="1"/>
    <xf numFmtId="17" fontId="0" fillId="34" borderId="0" xfId="0" applyNumberFormat="1" applyFill="1"/>
    <xf numFmtId="14" fontId="0" fillId="33" borderId="0" xfId="0" applyNumberFormat="1" applyFill="1"/>
    <xf numFmtId="1" fontId="0" fillId="33" borderId="0" xfId="0" applyNumberFormat="1" applyFill="1"/>
    <xf numFmtId="11" fontId="0" fillId="33" borderId="0" xfId="0" applyNumberFormat="1" applyFill="1"/>
    <xf numFmtId="17" fontId="0" fillId="33" borderId="0" xfId="0" applyNumberFormat="1" applyFill="1"/>
    <xf numFmtId="16" fontId="0" fillId="33" borderId="0" xfId="0" applyNumberFormat="1" applyFill="1"/>
    <xf numFmtId="11" fontId="18" fillId="0" borderId="0" xfId="0" applyNumberFormat="1" applyFont="1"/>
    <xf numFmtId="0" fontId="0" fillId="35" borderId="0" xfId="0" applyFill="1"/>
    <xf numFmtId="0" fontId="0" fillId="36" borderId="0" xfId="0" applyFill="1"/>
    <xf numFmtId="0" fontId="19" fillId="0" borderId="0" xfId="0" applyFont="1" applyAlignment="1">
      <alignment horizontal="left"/>
    </xf>
    <xf numFmtId="0" fontId="19" fillId="0" borderId="0" xfId="0" applyFont="1"/>
    <xf numFmtId="0" fontId="0" fillId="37" borderId="0" xfId="0" applyFill="1"/>
    <xf numFmtId="1" fontId="0" fillId="37" borderId="0" xfId="0" applyNumberFormat="1" applyFill="1"/>
    <xf numFmtId="1" fontId="19" fillId="34" borderId="0" xfId="0" applyNumberFormat="1" applyFont="1" applyFill="1"/>
    <xf numFmtId="1" fontId="19" fillId="0" borderId="0" xfId="0" applyNumberFormat="1" applyFont="1"/>
    <xf numFmtId="1" fontId="19" fillId="33" borderId="0" xfId="0" applyNumberFormat="1" applyFont="1" applyFill="1"/>
    <xf numFmtId="164" fontId="0" fillId="0" borderId="0" xfId="0" applyNumberFormat="1"/>
    <xf numFmtId="0" fontId="0" fillId="33" borderId="0" xfId="0" applyFill="1" applyAlignment="1">
      <alignment horizontal="center"/>
    </xf>
    <xf numFmtId="0" fontId="20" fillId="0" borderId="0" xfId="0" applyFont="1" applyAlignment="1">
      <alignment horizontal="left"/>
    </xf>
    <xf numFmtId="11" fontId="0" fillId="34" borderId="0" xfId="0" applyNumberFormat="1" applyFill="1"/>
    <xf numFmtId="0" fontId="0" fillId="38" borderId="0" xfId="0" applyFill="1"/>
    <xf numFmtId="165" fontId="0" fillId="34" borderId="0" xfId="0" applyNumberFormat="1" applyFill="1"/>
    <xf numFmtId="0" fontId="18" fillId="39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hidden="1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K1048483"/>
  <sheetViews>
    <sheetView tabSelected="1" zoomScale="70" zoomScaleNormal="70" workbookViewId="0">
      <pane xSplit="1" ySplit="1" topLeftCell="GX2" activePane="bottomRight" state="frozen"/>
      <selection pane="topRight" activeCell="B1" sqref="B1"/>
      <selection pane="bottomLeft" activeCell="A2" sqref="A2"/>
      <selection pane="bottomRight" activeCell="GF7" sqref="GF7"/>
    </sheetView>
  </sheetViews>
  <sheetFormatPr baseColWidth="10" defaultColWidth="10.83203125" defaultRowHeight="16" x14ac:dyDescent="0.2"/>
  <cols>
    <col min="5" max="5" width="10.83203125" style="3"/>
    <col min="6" max="6" width="33.1640625" customWidth="1"/>
    <col min="20" max="20" width="10.83203125" style="3"/>
    <col min="32" max="32" width="13.1640625" style="3" customWidth="1"/>
    <col min="33" max="97" width="10.83203125" customWidth="1"/>
    <col min="98" max="98" width="46.33203125" customWidth="1"/>
    <col min="99" max="121" width="10.83203125" customWidth="1"/>
    <col min="122" max="124" width="10.83203125" style="3" customWidth="1"/>
    <col min="125" max="125" width="21" style="3" customWidth="1"/>
    <col min="126" max="126" width="14.5" style="3" customWidth="1"/>
    <col min="127" max="128" width="13.1640625" style="3" customWidth="1"/>
    <col min="129" max="129" width="15.33203125" style="3" customWidth="1"/>
    <col min="130" max="130" width="13.6640625" style="3" customWidth="1"/>
    <col min="131" max="147" width="10.83203125" style="3" customWidth="1"/>
    <col min="148" max="148" width="10.33203125" style="3" customWidth="1"/>
    <col min="149" max="205" width="10.83203125" customWidth="1"/>
    <col min="206" max="206" width="108.83203125" customWidth="1"/>
    <col min="208" max="208" width="10.83203125" style="5" customWidth="1"/>
    <col min="209" max="209" width="10" customWidth="1"/>
    <col min="210" max="269" width="10.83203125" style="5" customWidth="1"/>
    <col min="270" max="271" width="10.83203125" style="5"/>
  </cols>
  <sheetData>
    <row r="1" spans="1:271" x14ac:dyDescent="0.2">
      <c r="A1" t="s">
        <v>0</v>
      </c>
      <c r="B1" t="s">
        <v>1</v>
      </c>
      <c r="C1" t="s">
        <v>2</v>
      </c>
      <c r="D1" t="s">
        <v>3</v>
      </c>
      <c r="E1" s="3" t="s">
        <v>257</v>
      </c>
      <c r="F1" t="s">
        <v>216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17</v>
      </c>
      <c r="T1" s="3" t="s">
        <v>18</v>
      </c>
      <c r="U1" t="s">
        <v>223</v>
      </c>
      <c r="V1" t="s">
        <v>258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s="3" t="s">
        <v>260</v>
      </c>
      <c r="AG1" t="s">
        <v>45</v>
      </c>
      <c r="AH1" t="s">
        <v>259</v>
      </c>
      <c r="AI1" t="s">
        <v>52</v>
      </c>
      <c r="AJ1" t="s">
        <v>224</v>
      </c>
      <c r="AK1" t="s">
        <v>225</v>
      </c>
      <c r="AL1" t="s">
        <v>226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21</v>
      </c>
      <c r="AS1" t="s">
        <v>58</v>
      </c>
      <c r="AT1" t="s">
        <v>59</v>
      </c>
      <c r="AU1" t="s">
        <v>60</v>
      </c>
      <c r="AV1" t="s">
        <v>25</v>
      </c>
      <c r="AW1" t="s">
        <v>26</v>
      </c>
      <c r="AX1" t="s">
        <v>61</v>
      </c>
      <c r="AY1" t="s">
        <v>28</v>
      </c>
      <c r="AZ1" t="s">
        <v>29</v>
      </c>
      <c r="BA1" t="s">
        <v>62</v>
      </c>
      <c r="BB1" t="s">
        <v>30</v>
      </c>
      <c r="BC1" t="s">
        <v>31</v>
      </c>
      <c r="BD1" t="s">
        <v>63</v>
      </c>
      <c r="BE1" t="s">
        <v>32</v>
      </c>
      <c r="BF1" t="s">
        <v>64</v>
      </c>
      <c r="BG1" t="s">
        <v>65</v>
      </c>
      <c r="BH1" t="s">
        <v>33</v>
      </c>
      <c r="BI1" t="s">
        <v>66</v>
      </c>
      <c r="BJ1" t="s">
        <v>67</v>
      </c>
      <c r="BK1" t="s">
        <v>34</v>
      </c>
      <c r="BL1" t="s">
        <v>68</v>
      </c>
      <c r="BM1" t="s">
        <v>69</v>
      </c>
      <c r="BN1" t="s">
        <v>35</v>
      </c>
      <c r="BO1" t="s">
        <v>36</v>
      </c>
      <c r="BP1" t="s">
        <v>70</v>
      </c>
      <c r="BQ1" t="s">
        <v>37</v>
      </c>
      <c r="BR1" t="s">
        <v>38</v>
      </c>
      <c r="BS1" t="s">
        <v>71</v>
      </c>
      <c r="BT1" t="s">
        <v>39</v>
      </c>
      <c r="BU1" t="s">
        <v>40</v>
      </c>
      <c r="BV1" t="s">
        <v>72</v>
      </c>
      <c r="BW1" t="s">
        <v>41</v>
      </c>
      <c r="BX1" t="s">
        <v>42</v>
      </c>
      <c r="BY1" t="s">
        <v>73</v>
      </c>
      <c r="BZ1" t="s">
        <v>43</v>
      </c>
      <c r="CA1" t="s">
        <v>44</v>
      </c>
      <c r="CB1" t="s">
        <v>74</v>
      </c>
      <c r="CC1" t="s">
        <v>45</v>
      </c>
      <c r="CD1" t="s">
        <v>75</v>
      </c>
      <c r="CE1" t="s">
        <v>76</v>
      </c>
      <c r="CF1" t="s">
        <v>46</v>
      </c>
      <c r="CG1" t="s">
        <v>47</v>
      </c>
      <c r="CH1" t="s">
        <v>77</v>
      </c>
      <c r="CI1" t="s">
        <v>48</v>
      </c>
      <c r="CJ1" t="s">
        <v>49</v>
      </c>
      <c r="CK1" t="s">
        <v>78</v>
      </c>
      <c r="CL1" t="s">
        <v>50</v>
      </c>
      <c r="CM1" t="s">
        <v>79</v>
      </c>
      <c r="CN1" t="s">
        <v>51</v>
      </c>
      <c r="CO1" t="s">
        <v>80</v>
      </c>
      <c r="CP1" t="s">
        <v>81</v>
      </c>
      <c r="CQ1" t="s">
        <v>82</v>
      </c>
      <c r="CR1" t="s">
        <v>83</v>
      </c>
      <c r="CS1" t="s">
        <v>84</v>
      </c>
      <c r="CT1" t="s">
        <v>85</v>
      </c>
      <c r="CU1" t="s">
        <v>86</v>
      </c>
      <c r="CV1" t="s">
        <v>87</v>
      </c>
      <c r="CW1" t="s">
        <v>88</v>
      </c>
      <c r="CX1" t="s">
        <v>16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s="3" t="s">
        <v>227</v>
      </c>
      <c r="DS1" s="3" t="s">
        <v>416</v>
      </c>
      <c r="DT1" s="3" t="s">
        <v>417</v>
      </c>
      <c r="DU1" s="3" t="s">
        <v>228</v>
      </c>
      <c r="DV1" s="3" t="s">
        <v>350</v>
      </c>
      <c r="DW1" s="3" t="s">
        <v>351</v>
      </c>
      <c r="DX1" s="3" t="s">
        <v>421</v>
      </c>
      <c r="DY1" s="3" t="s">
        <v>352</v>
      </c>
      <c r="DZ1" s="3" t="s">
        <v>353</v>
      </c>
      <c r="EA1" s="3" t="s">
        <v>355</v>
      </c>
      <c r="EB1" s="3" t="s">
        <v>237</v>
      </c>
      <c r="EC1" s="3" t="s">
        <v>230</v>
      </c>
      <c r="ED1" s="3" t="s">
        <v>229</v>
      </c>
      <c r="EE1" s="3" t="s">
        <v>418</v>
      </c>
      <c r="EF1" s="3" t="s">
        <v>420</v>
      </c>
      <c r="EG1" s="3" t="s">
        <v>419</v>
      </c>
      <c r="EH1" s="3" t="s">
        <v>242</v>
      </c>
      <c r="EI1" s="3" t="s">
        <v>320</v>
      </c>
      <c r="EJ1" s="3" t="s">
        <v>243</v>
      </c>
      <c r="EK1" s="3" t="s">
        <v>231</v>
      </c>
      <c r="EL1" s="3" t="s">
        <v>236</v>
      </c>
      <c r="EM1" s="3" t="s">
        <v>241</v>
      </c>
      <c r="EN1" s="3" t="s">
        <v>232</v>
      </c>
      <c r="EO1" s="3" t="s">
        <v>233</v>
      </c>
      <c r="EP1" s="3" t="s">
        <v>234</v>
      </c>
      <c r="EQ1" s="3" t="s">
        <v>235</v>
      </c>
      <c r="ER1" s="3" t="s">
        <v>354</v>
      </c>
      <c r="ES1" t="s">
        <v>108</v>
      </c>
      <c r="ET1" t="s">
        <v>109</v>
      </c>
      <c r="EU1" t="s">
        <v>110</v>
      </c>
      <c r="EV1" t="s">
        <v>111</v>
      </c>
      <c r="EW1" t="s">
        <v>112</v>
      </c>
      <c r="EX1" t="s">
        <v>113</v>
      </c>
      <c r="EY1" t="s">
        <v>247</v>
      </c>
      <c r="EZ1" t="s">
        <v>114</v>
      </c>
      <c r="FA1" t="s">
        <v>115</v>
      </c>
      <c r="FB1" t="s">
        <v>116</v>
      </c>
      <c r="FC1" t="s">
        <v>117</v>
      </c>
      <c r="FD1" t="s">
        <v>245</v>
      </c>
      <c r="FE1" t="s">
        <v>248</v>
      </c>
      <c r="FF1" t="s">
        <v>246</v>
      </c>
      <c r="FG1" t="s">
        <v>249</v>
      </c>
      <c r="FH1" t="s">
        <v>118</v>
      </c>
      <c r="FI1" t="s">
        <v>119</v>
      </c>
      <c r="FJ1" t="s">
        <v>120</v>
      </c>
      <c r="FK1" t="s">
        <v>121</v>
      </c>
      <c r="FL1" t="s">
        <v>122</v>
      </c>
      <c r="FM1" t="s">
        <v>123</v>
      </c>
      <c r="FN1" t="s">
        <v>124</v>
      </c>
      <c r="FO1" t="s">
        <v>125</v>
      </c>
      <c r="FP1" t="s">
        <v>244</v>
      </c>
      <c r="FQ1" t="s">
        <v>250</v>
      </c>
      <c r="FR1" t="s">
        <v>126</v>
      </c>
      <c r="FS1" t="s">
        <v>127</v>
      </c>
      <c r="FT1" t="s">
        <v>128</v>
      </c>
      <c r="FU1" t="s">
        <v>129</v>
      </c>
      <c r="FV1" t="s">
        <v>130</v>
      </c>
      <c r="FW1" t="s">
        <v>131</v>
      </c>
      <c r="FX1" t="s">
        <v>132</v>
      </c>
      <c r="FY1" t="s">
        <v>133</v>
      </c>
      <c r="FZ1" t="s">
        <v>134</v>
      </c>
      <c r="GA1" t="s">
        <v>135</v>
      </c>
      <c r="GB1" t="s">
        <v>136</v>
      </c>
      <c r="GC1" t="s">
        <v>137</v>
      </c>
      <c r="GD1" t="s">
        <v>138</v>
      </c>
      <c r="GE1" t="s">
        <v>139</v>
      </c>
      <c r="GF1" t="s">
        <v>140</v>
      </c>
      <c r="GG1" t="s">
        <v>141</v>
      </c>
      <c r="GH1" t="s">
        <v>142</v>
      </c>
      <c r="GI1" t="s">
        <v>143</v>
      </c>
      <c r="GJ1" t="s">
        <v>144</v>
      </c>
      <c r="GK1" t="s">
        <v>145</v>
      </c>
      <c r="GL1" t="s">
        <v>146</v>
      </c>
      <c r="GM1" t="s">
        <v>147</v>
      </c>
      <c r="GN1" t="s">
        <v>148</v>
      </c>
      <c r="GO1" t="s">
        <v>149</v>
      </c>
      <c r="GP1" t="s">
        <v>150</v>
      </c>
      <c r="GQ1" t="s">
        <v>151</v>
      </c>
      <c r="GR1" t="s">
        <v>152</v>
      </c>
      <c r="GS1" t="s">
        <v>153</v>
      </c>
      <c r="GT1" t="s">
        <v>154</v>
      </c>
      <c r="GU1" t="s">
        <v>155</v>
      </c>
      <c r="GV1" t="s">
        <v>156</v>
      </c>
      <c r="GW1" t="s">
        <v>157</v>
      </c>
      <c r="GX1" t="s">
        <v>158</v>
      </c>
      <c r="GY1" t="s">
        <v>261</v>
      </c>
      <c r="GZ1" t="s">
        <v>263</v>
      </c>
      <c r="HA1" t="s">
        <v>262</v>
      </c>
      <c r="HB1" t="s">
        <v>264</v>
      </c>
      <c r="HC1" t="s">
        <v>265</v>
      </c>
      <c r="HD1" t="s">
        <v>266</v>
      </c>
      <c r="HE1" t="s">
        <v>267</v>
      </c>
      <c r="HF1" t="s">
        <v>268</v>
      </c>
      <c r="HG1" t="s">
        <v>269</v>
      </c>
      <c r="HH1" t="s">
        <v>270</v>
      </c>
      <c r="HI1" t="s">
        <v>271</v>
      </c>
      <c r="HJ1" t="s">
        <v>272</v>
      </c>
      <c r="HK1" t="s">
        <v>273</v>
      </c>
      <c r="HL1" t="s">
        <v>274</v>
      </c>
      <c r="HM1" t="s">
        <v>275</v>
      </c>
      <c r="HN1" t="s">
        <v>276</v>
      </c>
      <c r="HO1" t="s">
        <v>277</v>
      </c>
      <c r="HP1" t="s">
        <v>278</v>
      </c>
      <c r="HQ1" t="s">
        <v>279</v>
      </c>
      <c r="HR1" t="s">
        <v>280</v>
      </c>
      <c r="HS1" t="s">
        <v>281</v>
      </c>
      <c r="HT1" t="s">
        <v>282</v>
      </c>
      <c r="HU1" t="s">
        <v>283</v>
      </c>
      <c r="HV1" t="s">
        <v>284</v>
      </c>
      <c r="HW1" t="s">
        <v>285</v>
      </c>
      <c r="HX1" t="s">
        <v>286</v>
      </c>
      <c r="HY1" t="s">
        <v>251</v>
      </c>
      <c r="HZ1" t="s">
        <v>252</v>
      </c>
      <c r="IA1" t="s">
        <v>253</v>
      </c>
      <c r="IB1" t="s">
        <v>254</v>
      </c>
      <c r="IC1" t="s">
        <v>255</v>
      </c>
      <c r="ID1" t="s">
        <v>256</v>
      </c>
      <c r="IE1" t="s">
        <v>287</v>
      </c>
      <c r="IF1" t="s">
        <v>288</v>
      </c>
      <c r="IG1" t="s">
        <v>289</v>
      </c>
      <c r="IH1" t="s">
        <v>290</v>
      </c>
      <c r="II1" t="s">
        <v>291</v>
      </c>
      <c r="IJ1" t="s">
        <v>292</v>
      </c>
      <c r="IK1" t="s">
        <v>293</v>
      </c>
      <c r="IL1" t="s">
        <v>294</v>
      </c>
      <c r="IM1" t="s">
        <v>295</v>
      </c>
      <c r="IN1" t="s">
        <v>296</v>
      </c>
      <c r="IO1" t="s">
        <v>297</v>
      </c>
      <c r="IP1" t="s">
        <v>298</v>
      </c>
      <c r="IQ1" t="s">
        <v>299</v>
      </c>
      <c r="IR1" t="s">
        <v>300</v>
      </c>
      <c r="IS1" t="s">
        <v>301</v>
      </c>
      <c r="IT1" t="s">
        <v>302</v>
      </c>
      <c r="IU1" t="s">
        <v>303</v>
      </c>
      <c r="IV1" t="s">
        <v>304</v>
      </c>
      <c r="IW1" t="s">
        <v>305</v>
      </c>
      <c r="IX1" t="s">
        <v>306</v>
      </c>
      <c r="IY1" t="s">
        <v>307</v>
      </c>
      <c r="IZ1" t="s">
        <v>308</v>
      </c>
      <c r="JA1" t="s">
        <v>309</v>
      </c>
      <c r="JB1" t="s">
        <v>310</v>
      </c>
      <c r="JC1" t="s">
        <v>311</v>
      </c>
      <c r="JD1" t="s">
        <v>312</v>
      </c>
      <c r="JE1" t="s">
        <v>313</v>
      </c>
      <c r="JF1" t="s">
        <v>314</v>
      </c>
      <c r="JG1" t="s">
        <v>315</v>
      </c>
      <c r="JH1" t="s">
        <v>316</v>
      </c>
      <c r="JI1" t="s">
        <v>317</v>
      </c>
      <c r="JJ1" t="s">
        <v>318</v>
      </c>
      <c r="JK1" t="s">
        <v>319</v>
      </c>
    </row>
    <row r="2" spans="1:271" s="7" customFormat="1" x14ac:dyDescent="0.2">
      <c r="A2" s="5">
        <v>10</v>
      </c>
      <c r="B2" s="5" t="s">
        <v>159</v>
      </c>
      <c r="C2" s="5" t="s">
        <v>410</v>
      </c>
      <c r="D2" s="11">
        <v>37407</v>
      </c>
      <c r="E2" s="25">
        <f t="shared" ref="E2" ca="1" si="0">(TODAY()-D2)/365</f>
        <v>21.997260273972604</v>
      </c>
      <c r="F2" s="5" t="s">
        <v>218</v>
      </c>
      <c r="G2" s="5" t="s">
        <v>169</v>
      </c>
      <c r="H2" s="5" t="s">
        <v>179</v>
      </c>
      <c r="I2" s="5" t="s">
        <v>165</v>
      </c>
      <c r="J2" s="5">
        <v>0</v>
      </c>
      <c r="K2" s="5">
        <v>0</v>
      </c>
      <c r="L2" s="5">
        <v>0</v>
      </c>
      <c r="M2" s="5">
        <v>6</v>
      </c>
      <c r="N2" s="5">
        <v>10</v>
      </c>
      <c r="O2" s="5" t="s">
        <v>164</v>
      </c>
      <c r="P2" s="5">
        <v>0</v>
      </c>
      <c r="Q2" s="5" t="s">
        <v>165</v>
      </c>
      <c r="R2" s="5">
        <v>30</v>
      </c>
      <c r="S2" s="5">
        <v>2</v>
      </c>
      <c r="T2" s="12">
        <v>2015</v>
      </c>
      <c r="U2" s="12">
        <f t="shared" ref="U2:U3" si="1">2022-T2</f>
        <v>7</v>
      </c>
      <c r="V2" s="12"/>
      <c r="W2" s="5"/>
      <c r="X2" s="5"/>
      <c r="Y2" s="5"/>
      <c r="Z2" s="5"/>
      <c r="AA2" s="5"/>
      <c r="AB2" s="5"/>
      <c r="AC2" s="5" t="s">
        <v>160</v>
      </c>
      <c r="AD2" s="5">
        <v>300</v>
      </c>
      <c r="AE2" s="14">
        <v>42339</v>
      </c>
      <c r="AF2" s="12">
        <v>1</v>
      </c>
      <c r="AG2" s="5" t="s">
        <v>167</v>
      </c>
      <c r="AH2" s="5" t="s">
        <v>167</v>
      </c>
      <c r="AI2" s="5"/>
      <c r="AJ2" s="5">
        <v>0</v>
      </c>
      <c r="AK2" s="5" t="s">
        <v>167</v>
      </c>
      <c r="AL2" s="5" t="s">
        <v>160</v>
      </c>
      <c r="AM2" s="15">
        <v>44706</v>
      </c>
      <c r="AN2" s="5" t="s">
        <v>180</v>
      </c>
      <c r="AO2" s="5" t="s">
        <v>160</v>
      </c>
      <c r="AP2" s="5">
        <v>5</v>
      </c>
      <c r="AQ2" s="5" t="s">
        <v>181</v>
      </c>
      <c r="AR2" s="5" t="s">
        <v>160</v>
      </c>
      <c r="AS2" s="5" t="s">
        <v>170</v>
      </c>
      <c r="AT2" s="5" t="s">
        <v>176</v>
      </c>
      <c r="AU2" s="14">
        <v>42522</v>
      </c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 t="s">
        <v>167</v>
      </c>
      <c r="CQ2" s="5" t="s">
        <v>167</v>
      </c>
      <c r="CR2" s="5"/>
      <c r="CS2" s="5" t="s">
        <v>160</v>
      </c>
      <c r="CT2" s="5">
        <v>1</v>
      </c>
      <c r="CU2" s="5" t="s">
        <v>167</v>
      </c>
      <c r="CV2" s="5"/>
      <c r="CW2" s="5"/>
      <c r="CX2" s="5" t="s">
        <v>167</v>
      </c>
      <c r="CY2" s="5"/>
      <c r="CZ2" s="5" t="s">
        <v>167</v>
      </c>
      <c r="DA2" s="5" t="s">
        <v>161</v>
      </c>
      <c r="DB2" s="5" t="s">
        <v>161</v>
      </c>
      <c r="DC2" s="5" t="s">
        <v>161</v>
      </c>
      <c r="DD2" s="5"/>
      <c r="DE2" s="5" t="s">
        <v>167</v>
      </c>
      <c r="DF2" s="5"/>
      <c r="DG2" s="5"/>
      <c r="DH2" s="5">
        <v>0</v>
      </c>
      <c r="DI2" s="5" t="s">
        <v>167</v>
      </c>
      <c r="DJ2" s="5" t="s">
        <v>167</v>
      </c>
      <c r="DK2" s="5"/>
      <c r="DL2" s="5" t="s">
        <v>167</v>
      </c>
      <c r="DM2" s="5"/>
      <c r="DN2" s="5"/>
      <c r="DO2" s="5" t="s">
        <v>168</v>
      </c>
      <c r="DP2" s="5"/>
      <c r="DQ2" s="5"/>
      <c r="DR2" s="12">
        <v>0</v>
      </c>
      <c r="DS2" s="12">
        <v>0</v>
      </c>
      <c r="DT2" s="12">
        <v>0</v>
      </c>
      <c r="DU2" s="12"/>
      <c r="DV2" s="12"/>
      <c r="DW2" s="12"/>
      <c r="DX2" s="12"/>
      <c r="DY2" s="12"/>
      <c r="DZ2" s="12"/>
      <c r="EA2" s="12"/>
      <c r="EB2" s="12"/>
      <c r="EC2" s="12" t="s">
        <v>167</v>
      </c>
      <c r="ED2" s="12" t="s">
        <v>167</v>
      </c>
      <c r="EE2" s="12" t="s">
        <v>167</v>
      </c>
      <c r="EF2" t="s">
        <v>167</v>
      </c>
      <c r="EG2" s="3" t="s">
        <v>167</v>
      </c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>
        <v>0</v>
      </c>
      <c r="ES2" s="5" t="s">
        <v>167</v>
      </c>
      <c r="ET2" s="5" t="s">
        <v>160</v>
      </c>
      <c r="EU2" s="5" t="s">
        <v>160</v>
      </c>
      <c r="EV2" s="5" t="s">
        <v>167</v>
      </c>
      <c r="EW2" s="5" t="s">
        <v>167</v>
      </c>
      <c r="EX2" s="5" t="s">
        <v>160</v>
      </c>
      <c r="EY2" s="5"/>
      <c r="EZ2" s="5" t="s">
        <v>182</v>
      </c>
      <c r="FA2" s="5">
        <v>7</v>
      </c>
      <c r="FB2" s="5">
        <v>121</v>
      </c>
      <c r="FC2" s="5">
        <v>192</v>
      </c>
      <c r="FD2" s="5" t="s">
        <v>167</v>
      </c>
      <c r="FE2" s="5">
        <v>5.25</v>
      </c>
      <c r="FF2" s="5" t="s">
        <v>167</v>
      </c>
      <c r="FG2" s="5">
        <v>1.0900000000000001</v>
      </c>
      <c r="FH2" s="5">
        <v>0.61</v>
      </c>
      <c r="FI2" s="5">
        <v>7.0000000000000007E-2</v>
      </c>
      <c r="FJ2" s="5">
        <v>0.02</v>
      </c>
      <c r="FK2" s="5">
        <v>5</v>
      </c>
      <c r="FL2" s="5">
        <v>60</v>
      </c>
      <c r="FM2" s="5" t="s">
        <v>178</v>
      </c>
      <c r="FN2" s="5">
        <v>29</v>
      </c>
      <c r="FO2" s="5">
        <v>44.4</v>
      </c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>
        <v>500</v>
      </c>
      <c r="GF2" s="5" t="s">
        <v>175</v>
      </c>
      <c r="GG2" s="5">
        <v>0.96</v>
      </c>
      <c r="GH2" s="5">
        <v>0.17</v>
      </c>
      <c r="GI2" s="5"/>
      <c r="GJ2" s="5"/>
      <c r="GK2" s="5"/>
      <c r="GL2" s="5"/>
      <c r="GM2" s="5"/>
      <c r="GN2" s="5"/>
      <c r="GO2" s="5"/>
      <c r="GP2" s="5"/>
      <c r="GQ2" s="5"/>
      <c r="GR2" s="5">
        <v>8</v>
      </c>
      <c r="GS2" s="5">
        <v>0</v>
      </c>
      <c r="GT2" s="5"/>
      <c r="GU2" s="5"/>
      <c r="GV2" s="5">
        <v>2.8</v>
      </c>
      <c r="GW2" s="5"/>
      <c r="GX2" s="5"/>
      <c r="GY2" s="5" t="s">
        <v>410</v>
      </c>
      <c r="GZ2" s="5">
        <v>5.21</v>
      </c>
      <c r="HA2" s="5">
        <v>9.6199999999999992</v>
      </c>
      <c r="HB2" s="5">
        <v>3.4000000000000002E-2</v>
      </c>
      <c r="HC2" s="5">
        <v>54.4</v>
      </c>
      <c r="HD2" s="5">
        <v>36</v>
      </c>
      <c r="HE2" s="5">
        <v>81.7</v>
      </c>
      <c r="HF2" s="5">
        <v>1.4E-2</v>
      </c>
      <c r="HG2" s="5">
        <v>0.72</v>
      </c>
      <c r="HH2" s="5">
        <v>1.45</v>
      </c>
      <c r="HI2" s="5">
        <v>79.599999999999994</v>
      </c>
      <c r="HJ2" s="5">
        <v>57.2</v>
      </c>
      <c r="HK2" s="5">
        <v>6.31</v>
      </c>
      <c r="HL2" s="5">
        <v>67.099999999999994</v>
      </c>
      <c r="HM2" s="5">
        <v>23.6</v>
      </c>
      <c r="HN2" s="5">
        <v>3.47</v>
      </c>
      <c r="HO2" s="5">
        <v>26.3</v>
      </c>
      <c r="HP2" s="5">
        <v>95.8</v>
      </c>
      <c r="HQ2" s="5">
        <v>4.4999999999999998E-2</v>
      </c>
      <c r="HR2" s="5">
        <v>4.12</v>
      </c>
      <c r="HS2" s="5">
        <v>4.2000000000000003E-2</v>
      </c>
      <c r="HT2" s="5">
        <v>66.5</v>
      </c>
      <c r="HU2" s="5">
        <v>0.25</v>
      </c>
      <c r="HV2" s="5">
        <v>85.8</v>
      </c>
      <c r="HW2" s="5">
        <v>2.79</v>
      </c>
      <c r="HX2" s="5">
        <v>11.1</v>
      </c>
      <c r="HY2" s="5">
        <v>0.31</v>
      </c>
      <c r="HZ2" s="5">
        <v>20.9</v>
      </c>
      <c r="IA2" s="5">
        <v>3.37</v>
      </c>
      <c r="IB2" s="5">
        <v>2.14</v>
      </c>
      <c r="IC2" s="5">
        <v>4.78</v>
      </c>
      <c r="ID2" s="5">
        <v>89.7</v>
      </c>
      <c r="IE2" s="5">
        <v>8.94</v>
      </c>
      <c r="IF2" s="5">
        <v>5.3</v>
      </c>
      <c r="IG2" s="5">
        <v>11.8</v>
      </c>
      <c r="IH2" s="5">
        <v>53.1</v>
      </c>
      <c r="II2" s="5">
        <v>22</v>
      </c>
      <c r="IJ2" s="5">
        <v>27.6</v>
      </c>
      <c r="IK2" s="5">
        <v>12.7</v>
      </c>
      <c r="IL2" s="5">
        <v>2.71</v>
      </c>
      <c r="IM2" s="5">
        <v>0.97</v>
      </c>
      <c r="IN2" s="5">
        <v>10.6</v>
      </c>
      <c r="IO2" s="5">
        <v>1.99</v>
      </c>
      <c r="IP2" s="5">
        <v>94.1</v>
      </c>
      <c r="IQ2" s="5">
        <v>2.1</v>
      </c>
      <c r="IR2" s="5">
        <v>2.52</v>
      </c>
      <c r="IS2" s="5">
        <v>86.1</v>
      </c>
      <c r="IT2" s="5">
        <v>2.2000000000000002</v>
      </c>
      <c r="IU2" s="5">
        <v>38.4</v>
      </c>
      <c r="IV2" s="5">
        <v>10.6</v>
      </c>
      <c r="IW2" s="5">
        <v>46.4</v>
      </c>
      <c r="IX2" s="5">
        <v>0.47</v>
      </c>
      <c r="IY2" s="5">
        <v>6.32</v>
      </c>
      <c r="IZ2" s="5">
        <v>47.4</v>
      </c>
      <c r="JA2" s="5">
        <v>39.9</v>
      </c>
      <c r="JB2" s="5">
        <v>0.43</v>
      </c>
      <c r="JC2" s="5">
        <v>2.83</v>
      </c>
      <c r="JD2" s="5">
        <v>10.6</v>
      </c>
      <c r="JE2" s="5">
        <v>40.700000000000003</v>
      </c>
      <c r="JF2" s="5">
        <v>383</v>
      </c>
      <c r="JG2" s="5">
        <v>220</v>
      </c>
      <c r="JH2" s="5">
        <v>286</v>
      </c>
      <c r="JI2" s="5">
        <v>760</v>
      </c>
      <c r="JJ2" s="5">
        <v>303</v>
      </c>
      <c r="JK2" s="5">
        <v>9.09</v>
      </c>
    </row>
    <row r="3" spans="1:271" s="5" customFormat="1" x14ac:dyDescent="0.2">
      <c r="A3" s="5">
        <v>17</v>
      </c>
      <c r="B3" s="5" t="s">
        <v>159</v>
      </c>
      <c r="C3" s="5" t="s">
        <v>411</v>
      </c>
      <c r="D3" s="11">
        <v>35930</v>
      </c>
      <c r="E3" s="25">
        <f t="shared" ref="E3" ca="1" si="2">(TODAY()-D3)/365</f>
        <v>26.043835616438358</v>
      </c>
      <c r="F3" s="5" t="s">
        <v>222</v>
      </c>
      <c r="G3" s="5" t="s">
        <v>169</v>
      </c>
      <c r="H3" s="5" t="s">
        <v>179</v>
      </c>
      <c r="I3" s="5" t="s">
        <v>164</v>
      </c>
      <c r="J3" s="5">
        <v>3</v>
      </c>
      <c r="K3" s="5">
        <v>0</v>
      </c>
      <c r="L3" s="5">
        <v>6</v>
      </c>
      <c r="M3" s="5">
        <v>0</v>
      </c>
      <c r="N3" s="5">
        <v>10</v>
      </c>
      <c r="O3" s="5" t="s">
        <v>164</v>
      </c>
      <c r="P3" s="5">
        <v>4</v>
      </c>
      <c r="Q3" s="5" t="s">
        <v>165</v>
      </c>
      <c r="R3" s="5">
        <v>35</v>
      </c>
      <c r="S3" s="5">
        <v>4</v>
      </c>
      <c r="T3" s="12">
        <v>2018</v>
      </c>
      <c r="U3" s="12">
        <f t="shared" si="1"/>
        <v>4</v>
      </c>
      <c r="V3" s="12" t="s">
        <v>160</v>
      </c>
      <c r="W3" s="5">
        <v>5</v>
      </c>
      <c r="X3" s="27" t="s">
        <v>422</v>
      </c>
      <c r="AC3" s="5" t="s">
        <v>160</v>
      </c>
      <c r="AD3" s="5">
        <v>200</v>
      </c>
      <c r="AE3" s="14">
        <v>43191</v>
      </c>
      <c r="AF3" s="12">
        <v>2</v>
      </c>
      <c r="AG3" s="5" t="s">
        <v>167</v>
      </c>
      <c r="AH3" s="5" t="s">
        <v>160</v>
      </c>
      <c r="AI3" s="5" t="s">
        <v>184</v>
      </c>
      <c r="AJ3" s="5">
        <v>3</v>
      </c>
      <c r="AK3" s="5" t="s">
        <v>160</v>
      </c>
      <c r="AL3" s="5" t="s">
        <v>160</v>
      </c>
      <c r="AM3" s="5">
        <v>50</v>
      </c>
      <c r="AN3" s="5" t="s">
        <v>185</v>
      </c>
      <c r="AO3" s="5" t="s">
        <v>160</v>
      </c>
      <c r="AP3" s="5">
        <v>10</v>
      </c>
      <c r="AQ3" s="5" t="s">
        <v>186</v>
      </c>
      <c r="AY3" s="5" t="s">
        <v>160</v>
      </c>
      <c r="AZ3" s="5">
        <v>125</v>
      </c>
      <c r="BA3" s="5" t="s">
        <v>187</v>
      </c>
      <c r="BE3" s="5" t="s">
        <v>160</v>
      </c>
      <c r="BF3" s="5" t="s">
        <v>183</v>
      </c>
      <c r="BG3" s="5" t="s">
        <v>188</v>
      </c>
      <c r="CP3" s="5" t="s">
        <v>167</v>
      </c>
      <c r="CQ3" s="5" t="s">
        <v>167</v>
      </c>
      <c r="CS3" s="5" t="s">
        <v>160</v>
      </c>
      <c r="CT3" s="5">
        <v>1</v>
      </c>
      <c r="CU3" s="5" t="s">
        <v>167</v>
      </c>
      <c r="CX3" s="5" t="s">
        <v>167</v>
      </c>
      <c r="CZ3" s="5" t="s">
        <v>167</v>
      </c>
      <c r="DA3" s="5" t="s">
        <v>161</v>
      </c>
      <c r="DB3" s="5" t="s">
        <v>161</v>
      </c>
      <c r="DC3" s="5" t="s">
        <v>161</v>
      </c>
      <c r="DD3" s="5" t="s">
        <v>189</v>
      </c>
      <c r="DE3" s="5" t="s">
        <v>167</v>
      </c>
      <c r="DH3" s="5" t="s">
        <v>190</v>
      </c>
      <c r="DI3" s="5" t="s">
        <v>167</v>
      </c>
      <c r="DJ3" s="5" t="s">
        <v>167</v>
      </c>
      <c r="DL3" s="5" t="s">
        <v>167</v>
      </c>
      <c r="DO3" s="5" t="s">
        <v>168</v>
      </c>
      <c r="DR3" s="12">
        <v>0</v>
      </c>
      <c r="DS3" s="12">
        <v>0</v>
      </c>
      <c r="DT3" s="12">
        <v>0</v>
      </c>
      <c r="DU3" s="12"/>
      <c r="DV3" s="12"/>
      <c r="DW3" s="12"/>
      <c r="DX3" s="12"/>
      <c r="DY3" s="12"/>
      <c r="DZ3" s="12"/>
      <c r="EA3" s="12"/>
      <c r="EB3" s="12"/>
      <c r="EC3" s="12" t="s">
        <v>167</v>
      </c>
      <c r="ED3" s="12" t="s">
        <v>167</v>
      </c>
      <c r="EE3" s="12" t="s">
        <v>167</v>
      </c>
      <c r="EF3" t="s">
        <v>167</v>
      </c>
      <c r="EG3" s="3" t="s">
        <v>167</v>
      </c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>
        <v>0</v>
      </c>
      <c r="ES3" s="5" t="s">
        <v>160</v>
      </c>
      <c r="ET3" s="5" t="s">
        <v>160</v>
      </c>
      <c r="EU3" s="5" t="s">
        <v>160</v>
      </c>
      <c r="EV3" s="5" t="s">
        <v>167</v>
      </c>
      <c r="EW3" s="5" t="s">
        <v>160</v>
      </c>
      <c r="EX3" s="5" t="s">
        <v>160</v>
      </c>
      <c r="EZ3" s="5" t="s">
        <v>177</v>
      </c>
      <c r="FA3" s="5">
        <v>7.5</v>
      </c>
      <c r="FB3" s="5">
        <v>127</v>
      </c>
      <c r="FC3" s="5">
        <v>289</v>
      </c>
      <c r="FD3" s="5" t="s">
        <v>167</v>
      </c>
      <c r="FE3" s="5">
        <v>4.5999999999999996</v>
      </c>
      <c r="FF3" s="5" t="s">
        <v>167</v>
      </c>
      <c r="FG3" s="5">
        <v>2.2999999999999998</v>
      </c>
      <c r="FH3" s="5">
        <v>0.5</v>
      </c>
      <c r="FI3" s="5">
        <v>0</v>
      </c>
      <c r="FJ3" s="5">
        <v>0.1</v>
      </c>
      <c r="FK3" s="5">
        <v>3.4</v>
      </c>
      <c r="FL3" s="5">
        <v>52</v>
      </c>
      <c r="FM3" s="5" t="s">
        <v>178</v>
      </c>
      <c r="FN3" s="5">
        <v>11</v>
      </c>
      <c r="FO3" s="5">
        <v>0</v>
      </c>
      <c r="FP3" s="5" t="s">
        <v>167</v>
      </c>
      <c r="FQ3" s="5">
        <v>22.9</v>
      </c>
      <c r="FR3" s="5">
        <v>2.77</v>
      </c>
      <c r="FS3" s="5">
        <v>0.8</v>
      </c>
      <c r="FT3" s="5">
        <v>13.1</v>
      </c>
      <c r="FU3" s="5">
        <v>5.04</v>
      </c>
      <c r="FV3" s="5">
        <v>1.25</v>
      </c>
      <c r="FW3" s="5">
        <v>1.77</v>
      </c>
      <c r="GE3" s="5">
        <v>145</v>
      </c>
      <c r="GF3" s="5" t="s">
        <v>173</v>
      </c>
      <c r="GG3" s="5">
        <v>1.1000000000000001</v>
      </c>
      <c r="GH3" s="5">
        <v>0.17</v>
      </c>
      <c r="GK3" s="5">
        <v>0</v>
      </c>
      <c r="GL3" s="5">
        <v>0</v>
      </c>
      <c r="GM3" s="5">
        <v>0</v>
      </c>
      <c r="GN3" s="5" t="s">
        <v>190</v>
      </c>
      <c r="GX3" s="5" t="s">
        <v>191</v>
      </c>
      <c r="GY3" s="5" t="s">
        <v>411</v>
      </c>
      <c r="GZ3" s="5">
        <v>6.37</v>
      </c>
      <c r="HA3" s="5">
        <v>9.23</v>
      </c>
      <c r="HB3" s="5">
        <v>0.16</v>
      </c>
      <c r="HC3" s="5">
        <v>35.4</v>
      </c>
      <c r="HD3" s="5">
        <v>55.2</v>
      </c>
      <c r="HE3" s="5">
        <v>78.900000000000006</v>
      </c>
      <c r="HF3" s="13">
        <v>6.2899999999999996E-3</v>
      </c>
      <c r="HG3" s="5">
        <v>0.22</v>
      </c>
      <c r="HH3" s="5">
        <v>0.87</v>
      </c>
      <c r="HI3" s="5">
        <v>77.8</v>
      </c>
      <c r="HJ3" s="5">
        <v>43.3</v>
      </c>
      <c r="HK3" s="5">
        <v>4.5199999999999996</v>
      </c>
      <c r="HL3" s="5">
        <v>64</v>
      </c>
      <c r="HM3" s="5">
        <v>27.1</v>
      </c>
      <c r="HN3" s="5">
        <v>4.57</v>
      </c>
      <c r="HO3" s="5">
        <v>24.3</v>
      </c>
      <c r="HP3" s="5">
        <v>64.3</v>
      </c>
      <c r="HQ3" s="5">
        <v>4.45</v>
      </c>
      <c r="HR3" s="5">
        <v>21.7</v>
      </c>
      <c r="HS3" s="5">
        <v>17</v>
      </c>
      <c r="HT3" s="5">
        <v>63.7</v>
      </c>
      <c r="HU3" s="5">
        <v>6.8</v>
      </c>
      <c r="HV3" s="5">
        <v>60.8</v>
      </c>
      <c r="HW3" s="5">
        <v>2.61</v>
      </c>
      <c r="HX3" s="5">
        <v>18</v>
      </c>
      <c r="HY3" s="5">
        <v>18.600000000000001</v>
      </c>
      <c r="HZ3" s="5">
        <v>33.4</v>
      </c>
      <c r="IA3" s="5">
        <v>3.08</v>
      </c>
      <c r="IB3" s="5">
        <v>5.98</v>
      </c>
      <c r="IC3" s="5">
        <v>9.11</v>
      </c>
      <c r="ID3" s="5">
        <v>81.8</v>
      </c>
      <c r="IE3" s="5">
        <v>10.4</v>
      </c>
      <c r="IF3" s="5">
        <v>1.85</v>
      </c>
      <c r="IG3" s="5">
        <v>13.1</v>
      </c>
      <c r="IH3" s="5">
        <v>69.8</v>
      </c>
      <c r="II3" s="5">
        <v>6.76</v>
      </c>
      <c r="IJ3" s="5">
        <v>37.799999999999997</v>
      </c>
      <c r="IK3" s="5">
        <v>16.2</v>
      </c>
      <c r="IL3" s="5">
        <v>2.2400000000000002</v>
      </c>
      <c r="IM3" s="5">
        <v>0.8</v>
      </c>
      <c r="IN3" s="5">
        <v>34.9</v>
      </c>
      <c r="IO3" s="5">
        <v>3.12</v>
      </c>
      <c r="IP3" s="5">
        <v>83.3</v>
      </c>
      <c r="IQ3" s="5">
        <v>14.2</v>
      </c>
      <c r="IR3" s="5">
        <v>2.4900000000000002</v>
      </c>
      <c r="IS3" s="5">
        <v>55.8</v>
      </c>
      <c r="IT3" s="5">
        <v>8.8699999999999992</v>
      </c>
      <c r="IU3" s="5">
        <v>34.4</v>
      </c>
      <c r="IV3" s="5">
        <v>1.43</v>
      </c>
      <c r="IW3" s="5">
        <v>56.2</v>
      </c>
      <c r="IX3" s="5">
        <v>0.25</v>
      </c>
      <c r="IY3" s="5">
        <v>5.85</v>
      </c>
      <c r="IZ3" s="5">
        <v>70.599999999999994</v>
      </c>
      <c r="JA3" s="5">
        <v>87.6</v>
      </c>
      <c r="JB3" s="5">
        <v>0.14000000000000001</v>
      </c>
      <c r="JC3" s="5">
        <v>1.99</v>
      </c>
      <c r="JD3" s="5">
        <v>18.600000000000001</v>
      </c>
      <c r="JE3" s="5">
        <v>-8.8800000000000008</v>
      </c>
      <c r="JF3" s="5">
        <v>237</v>
      </c>
      <c r="JG3" s="5">
        <v>224</v>
      </c>
      <c r="JH3" s="5">
        <v>167</v>
      </c>
      <c r="JI3" s="5">
        <v>277</v>
      </c>
      <c r="JJ3" s="5">
        <v>126</v>
      </c>
      <c r="JK3" s="5">
        <v>-43.7</v>
      </c>
    </row>
    <row r="4" spans="1:271" x14ac:dyDescent="0.2">
      <c r="A4" s="7">
        <v>31</v>
      </c>
      <c r="B4" s="7" t="s">
        <v>159</v>
      </c>
      <c r="C4" s="7" t="s">
        <v>415</v>
      </c>
      <c r="D4" s="8">
        <v>35944</v>
      </c>
      <c r="E4" s="23">
        <f t="shared" ref="E4" ca="1" si="3">(TODAY()-D4)/365</f>
        <v>26.005479452054793</v>
      </c>
      <c r="F4" s="7" t="s">
        <v>217</v>
      </c>
      <c r="G4" s="7" t="s">
        <v>169</v>
      </c>
      <c r="H4" s="7" t="s">
        <v>194</v>
      </c>
      <c r="I4" s="7" t="s">
        <v>164</v>
      </c>
      <c r="J4" s="7">
        <v>0</v>
      </c>
      <c r="K4" s="7">
        <v>0</v>
      </c>
      <c r="L4" s="7">
        <v>4</v>
      </c>
      <c r="M4" s="7">
        <v>0</v>
      </c>
      <c r="N4" s="7">
        <v>10</v>
      </c>
      <c r="O4" s="7" t="s">
        <v>164</v>
      </c>
      <c r="P4" s="7">
        <v>4</v>
      </c>
      <c r="Q4" s="7" t="s">
        <v>165</v>
      </c>
      <c r="R4" s="7">
        <v>30</v>
      </c>
      <c r="S4" s="7">
        <v>6</v>
      </c>
      <c r="T4" s="9">
        <v>2005</v>
      </c>
      <c r="U4" s="9">
        <f t="shared" ref="U4:U5" si="4">2022-T4</f>
        <v>17</v>
      </c>
      <c r="V4" s="9" t="s">
        <v>160</v>
      </c>
      <c r="W4" s="7">
        <v>5</v>
      </c>
      <c r="X4" s="10">
        <v>44409</v>
      </c>
      <c r="Y4" s="7"/>
      <c r="Z4" s="7"/>
      <c r="AA4" s="7"/>
      <c r="AB4" s="7"/>
      <c r="AC4" s="7" t="s">
        <v>160</v>
      </c>
      <c r="AD4" s="7">
        <v>300</v>
      </c>
      <c r="AE4" s="7">
        <v>2005</v>
      </c>
      <c r="AF4" s="9">
        <v>2</v>
      </c>
      <c r="AG4" s="7" t="s">
        <v>160</v>
      </c>
      <c r="AH4" s="7" t="s">
        <v>160</v>
      </c>
      <c r="AI4" s="7" t="s">
        <v>195</v>
      </c>
      <c r="AJ4" s="7">
        <v>2</v>
      </c>
      <c r="AK4" s="7" t="s">
        <v>160</v>
      </c>
      <c r="AL4" s="7" t="s">
        <v>160</v>
      </c>
      <c r="AM4" s="7">
        <v>25</v>
      </c>
      <c r="AN4" s="7" t="s">
        <v>196</v>
      </c>
      <c r="AO4" s="7" t="s">
        <v>160</v>
      </c>
      <c r="AP4" s="7">
        <v>10</v>
      </c>
      <c r="AQ4" s="7" t="s">
        <v>197</v>
      </c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 t="s">
        <v>160</v>
      </c>
      <c r="BF4" s="7" t="s">
        <v>171</v>
      </c>
      <c r="BG4" s="7" t="s">
        <v>198</v>
      </c>
      <c r="BH4" s="7"/>
      <c r="BI4" s="7"/>
      <c r="BJ4" s="7"/>
      <c r="BK4" s="7"/>
      <c r="BL4" s="7"/>
      <c r="BM4" s="7"/>
      <c r="BN4" s="7"/>
      <c r="BO4" s="7"/>
      <c r="BP4" s="7"/>
      <c r="BQ4" s="7" t="s">
        <v>160</v>
      </c>
      <c r="BR4" s="7">
        <v>3000</v>
      </c>
      <c r="BS4" s="7" t="s">
        <v>199</v>
      </c>
      <c r="BT4" s="7" t="s">
        <v>160</v>
      </c>
      <c r="BU4" s="7">
        <v>1440</v>
      </c>
      <c r="BV4" s="7" t="s">
        <v>200</v>
      </c>
      <c r="BW4" s="7"/>
      <c r="BX4" s="7"/>
      <c r="BY4" s="7"/>
      <c r="BZ4" s="7"/>
      <c r="CA4" s="7"/>
      <c r="CB4" s="7"/>
      <c r="CC4" s="7" t="s">
        <v>160</v>
      </c>
      <c r="CD4" s="7" t="s">
        <v>166</v>
      </c>
      <c r="CE4" s="10">
        <v>44197</v>
      </c>
      <c r="CF4" s="7"/>
      <c r="CG4" s="7"/>
      <c r="CH4" s="7"/>
      <c r="CI4" s="7"/>
      <c r="CJ4" s="7"/>
      <c r="CK4" s="7"/>
      <c r="CL4" s="7"/>
      <c r="CM4" s="7"/>
      <c r="CN4" s="7"/>
      <c r="CO4" s="7"/>
      <c r="CP4" s="7" t="s">
        <v>167</v>
      </c>
      <c r="CQ4" s="7" t="s">
        <v>167</v>
      </c>
      <c r="CR4" s="7"/>
      <c r="CS4" s="7" t="s">
        <v>160</v>
      </c>
      <c r="CT4" s="7">
        <v>1</v>
      </c>
      <c r="CU4" s="7" t="s">
        <v>167</v>
      </c>
      <c r="CV4" s="7"/>
      <c r="CW4" s="7"/>
      <c r="CX4" s="7" t="s">
        <v>167</v>
      </c>
      <c r="CY4" s="7"/>
      <c r="CZ4" s="7" t="s">
        <v>167</v>
      </c>
      <c r="DA4" s="7" t="s">
        <v>161</v>
      </c>
      <c r="DB4" s="7" t="s">
        <v>161</v>
      </c>
      <c r="DC4" s="7" t="s">
        <v>161</v>
      </c>
      <c r="DD4" s="7" t="s">
        <v>201</v>
      </c>
      <c r="DE4" s="7" t="s">
        <v>167</v>
      </c>
      <c r="DF4" s="7"/>
      <c r="DG4" s="7"/>
      <c r="DH4" s="7">
        <v>0</v>
      </c>
      <c r="DI4" s="7" t="s">
        <v>167</v>
      </c>
      <c r="DJ4" s="7" t="s">
        <v>167</v>
      </c>
      <c r="DK4" s="7"/>
      <c r="DL4" s="7" t="s">
        <v>167</v>
      </c>
      <c r="DM4" s="7"/>
      <c r="DN4" s="7"/>
      <c r="DO4" s="7" t="s">
        <v>168</v>
      </c>
      <c r="DP4" s="7"/>
      <c r="DQ4" s="7" t="s">
        <v>202</v>
      </c>
      <c r="DR4" s="9">
        <v>5</v>
      </c>
      <c r="DS4" s="9">
        <v>4</v>
      </c>
      <c r="DT4" s="9">
        <v>4</v>
      </c>
      <c r="DU4" s="9" t="s">
        <v>240</v>
      </c>
      <c r="DV4" s="9"/>
      <c r="DW4" s="9">
        <v>4</v>
      </c>
      <c r="DX4" s="9">
        <v>3</v>
      </c>
      <c r="DY4" s="9">
        <v>1</v>
      </c>
      <c r="DZ4" s="9"/>
      <c r="EA4" s="9"/>
      <c r="EB4" s="9"/>
      <c r="EC4" s="9" t="s">
        <v>160</v>
      </c>
      <c r="ED4" s="9" t="s">
        <v>160</v>
      </c>
      <c r="EE4" s="9" t="s">
        <v>160</v>
      </c>
      <c r="EF4" t="s">
        <v>167</v>
      </c>
      <c r="EG4" s="9" t="s">
        <v>167</v>
      </c>
      <c r="EH4" s="9"/>
      <c r="EI4" s="9"/>
      <c r="EJ4" s="9"/>
      <c r="EK4" s="9"/>
      <c r="EL4" s="9"/>
      <c r="EM4" s="9"/>
      <c r="EN4" s="9">
        <v>2</v>
      </c>
      <c r="EO4" s="9"/>
      <c r="EP4" s="9">
        <v>4</v>
      </c>
      <c r="EQ4" s="9"/>
      <c r="ER4" s="9">
        <v>0</v>
      </c>
      <c r="ES4" s="7" t="s">
        <v>167</v>
      </c>
      <c r="ET4" s="7" t="s">
        <v>160</v>
      </c>
      <c r="EU4" s="7" t="s">
        <v>160</v>
      </c>
      <c r="EV4" s="7" t="s">
        <v>167</v>
      </c>
      <c r="EW4" s="7" t="s">
        <v>160</v>
      </c>
      <c r="EX4" s="7" t="s">
        <v>160</v>
      </c>
      <c r="EY4" s="7"/>
      <c r="EZ4" s="7" t="s">
        <v>177</v>
      </c>
      <c r="FA4" s="7">
        <v>6.7</v>
      </c>
      <c r="FB4" s="7">
        <v>109</v>
      </c>
      <c r="FC4" s="7">
        <v>340</v>
      </c>
      <c r="FD4" s="7" t="s">
        <v>167</v>
      </c>
      <c r="FE4" s="7">
        <v>3.3</v>
      </c>
      <c r="FF4" s="7" t="s">
        <v>167</v>
      </c>
      <c r="FG4" s="7">
        <v>2.4</v>
      </c>
      <c r="FH4" s="7">
        <v>0.7</v>
      </c>
      <c r="FI4" s="7">
        <v>0.2</v>
      </c>
      <c r="FJ4" s="7">
        <v>0</v>
      </c>
      <c r="FK4" s="7">
        <v>3.7</v>
      </c>
      <c r="FL4" s="7">
        <v>33</v>
      </c>
      <c r="FM4" s="7" t="s">
        <v>178</v>
      </c>
      <c r="FN4" s="7">
        <v>24</v>
      </c>
      <c r="FO4" s="7">
        <v>0</v>
      </c>
      <c r="FP4" s="7" t="s">
        <v>167</v>
      </c>
      <c r="FQ4" s="7">
        <v>7.01</v>
      </c>
      <c r="FR4" s="7">
        <v>3</v>
      </c>
      <c r="FS4" s="7">
        <v>0.5</v>
      </c>
      <c r="FT4" s="7">
        <v>5.4</v>
      </c>
      <c r="FU4" s="7">
        <v>1.42</v>
      </c>
      <c r="FV4" s="7">
        <v>0.43</v>
      </c>
      <c r="FW4" s="7">
        <v>0.21</v>
      </c>
      <c r="FX4" s="7">
        <v>100</v>
      </c>
      <c r="FY4" s="7">
        <v>1.62</v>
      </c>
      <c r="FZ4" s="7">
        <v>0.18</v>
      </c>
      <c r="GA4" s="7">
        <v>0.83</v>
      </c>
      <c r="GB4" s="7">
        <v>0.67</v>
      </c>
      <c r="GC4" s="7">
        <v>0.81</v>
      </c>
      <c r="GD4" s="7">
        <v>0.17</v>
      </c>
      <c r="GE4" s="7">
        <v>44</v>
      </c>
      <c r="GF4" s="7" t="s">
        <v>173</v>
      </c>
      <c r="GG4" s="7">
        <v>0.8</v>
      </c>
      <c r="GH4" s="7">
        <v>0.16</v>
      </c>
      <c r="GI4" s="7"/>
      <c r="GJ4" s="7"/>
      <c r="GK4" s="7">
        <v>0</v>
      </c>
      <c r="GL4" s="7"/>
      <c r="GM4" s="7">
        <v>0</v>
      </c>
      <c r="GN4" s="7">
        <v>0</v>
      </c>
      <c r="GO4" s="7"/>
      <c r="GP4" s="7"/>
      <c r="GQ4" s="7"/>
      <c r="GR4" s="7"/>
      <c r="GS4" s="7"/>
      <c r="GT4" s="7"/>
      <c r="GU4" s="7"/>
      <c r="GV4" s="7">
        <v>71</v>
      </c>
      <c r="GW4" s="7"/>
      <c r="GX4" s="7"/>
      <c r="GY4" s="7" t="s">
        <v>415</v>
      </c>
      <c r="GZ4" s="7">
        <v>7.15</v>
      </c>
      <c r="HA4" s="7">
        <v>11.1</v>
      </c>
      <c r="HB4" s="7">
        <v>0.04</v>
      </c>
      <c r="HC4" s="7">
        <v>28.2</v>
      </c>
      <c r="HD4" s="7">
        <v>60.7</v>
      </c>
      <c r="HE4" s="7">
        <v>76.900000000000006</v>
      </c>
      <c r="HF4" s="7">
        <v>1.0999999999999999E-2</v>
      </c>
      <c r="HG4" s="7">
        <v>0.99</v>
      </c>
      <c r="HH4" s="7">
        <v>4.66</v>
      </c>
      <c r="HI4" s="7">
        <v>71.400000000000006</v>
      </c>
      <c r="HJ4" s="7">
        <v>33</v>
      </c>
      <c r="HK4" s="7">
        <v>7.47</v>
      </c>
      <c r="HL4" s="7">
        <v>50.3</v>
      </c>
      <c r="HM4" s="7">
        <v>31.3</v>
      </c>
      <c r="HN4" s="7">
        <v>8.33</v>
      </c>
      <c r="HO4" s="7">
        <v>36.6</v>
      </c>
      <c r="HP4" s="7">
        <v>70.099999999999994</v>
      </c>
      <c r="HQ4" s="7">
        <v>2.57</v>
      </c>
      <c r="HR4" s="7">
        <v>19.399999999999999</v>
      </c>
      <c r="HS4" s="7">
        <v>16.100000000000001</v>
      </c>
      <c r="HT4" s="7">
        <v>51.6</v>
      </c>
      <c r="HU4" s="7">
        <v>4.57</v>
      </c>
      <c r="HV4" s="7">
        <v>56.4</v>
      </c>
      <c r="HW4" s="7">
        <v>2.74</v>
      </c>
      <c r="HX4" s="7">
        <v>25.1</v>
      </c>
      <c r="HY4" s="7">
        <v>15.7</v>
      </c>
      <c r="HZ4" s="7">
        <v>36.6</v>
      </c>
      <c r="IA4" s="7">
        <v>2.5499999999999998</v>
      </c>
      <c r="IB4" s="7">
        <v>5.07</v>
      </c>
      <c r="IC4" s="7">
        <v>2.5</v>
      </c>
      <c r="ID4" s="7">
        <v>89.8</v>
      </c>
      <c r="IE4" s="7">
        <v>13.8</v>
      </c>
      <c r="IF4" s="7">
        <v>4.75</v>
      </c>
      <c r="IG4" s="7">
        <v>5.2</v>
      </c>
      <c r="IH4" s="7">
        <v>66.3</v>
      </c>
      <c r="II4" s="7">
        <v>21.7</v>
      </c>
      <c r="IJ4" s="7">
        <v>9.98</v>
      </c>
      <c r="IK4" s="7">
        <v>48.2</v>
      </c>
      <c r="IL4" s="7">
        <v>0.79</v>
      </c>
      <c r="IM4" s="7">
        <v>0.52</v>
      </c>
      <c r="IN4" s="7">
        <v>3.9</v>
      </c>
      <c r="IO4" s="7">
        <v>0.28000000000000003</v>
      </c>
      <c r="IP4" s="7">
        <v>96.4</v>
      </c>
      <c r="IQ4" s="7">
        <v>2.72</v>
      </c>
      <c r="IR4" s="7">
        <v>0.75</v>
      </c>
      <c r="IS4" s="7">
        <v>97.1</v>
      </c>
      <c r="IT4" s="7">
        <v>1.48</v>
      </c>
      <c r="IU4" s="7">
        <v>28.6</v>
      </c>
      <c r="IV4" s="7">
        <v>3.39</v>
      </c>
      <c r="IW4" s="7">
        <v>63.4</v>
      </c>
      <c r="IX4" s="7">
        <v>0.2</v>
      </c>
      <c r="IY4" s="7">
        <v>26.1</v>
      </c>
      <c r="IZ4" s="7">
        <v>53.2</v>
      </c>
      <c r="JA4" s="7">
        <v>32</v>
      </c>
      <c r="JB4" s="7">
        <v>0.27</v>
      </c>
      <c r="JC4" s="7">
        <v>4.45</v>
      </c>
      <c r="JD4" s="7">
        <v>13.7</v>
      </c>
      <c r="JE4" s="7">
        <v>47.9</v>
      </c>
      <c r="JF4" s="7">
        <v>569</v>
      </c>
      <c r="JG4" s="7">
        <v>403</v>
      </c>
      <c r="JH4" s="7">
        <v>845</v>
      </c>
      <c r="JI4" s="7">
        <v>1125</v>
      </c>
      <c r="JJ4" s="7">
        <v>385</v>
      </c>
      <c r="JK4" s="7">
        <v>8.93</v>
      </c>
    </row>
    <row r="5" spans="1:271" x14ac:dyDescent="0.2">
      <c r="A5">
        <v>39</v>
      </c>
      <c r="B5" t="s">
        <v>159</v>
      </c>
      <c r="C5" t="s">
        <v>412</v>
      </c>
      <c r="D5" s="1">
        <v>35357</v>
      </c>
      <c r="E5" s="24">
        <f t="shared" ref="E5" ca="1" si="5">(TODAY()-D5)/365</f>
        <v>27.613698630136987</v>
      </c>
      <c r="F5" t="s">
        <v>220</v>
      </c>
      <c r="G5" t="s">
        <v>169</v>
      </c>
      <c r="H5" t="s">
        <v>203</v>
      </c>
      <c r="I5" t="s">
        <v>164</v>
      </c>
      <c r="J5">
        <v>4</v>
      </c>
      <c r="K5">
        <v>0</v>
      </c>
      <c r="L5">
        <v>4</v>
      </c>
      <c r="M5">
        <v>0</v>
      </c>
      <c r="N5">
        <v>10</v>
      </c>
      <c r="O5" t="s">
        <v>164</v>
      </c>
      <c r="P5">
        <v>4</v>
      </c>
      <c r="Q5" t="s">
        <v>165</v>
      </c>
      <c r="R5">
        <v>28</v>
      </c>
      <c r="S5">
        <v>0</v>
      </c>
      <c r="T5" s="3">
        <v>2007</v>
      </c>
      <c r="U5" s="3">
        <f t="shared" si="4"/>
        <v>15</v>
      </c>
      <c r="V5" s="3"/>
      <c r="AC5" t="s">
        <v>160</v>
      </c>
      <c r="AD5">
        <v>200</v>
      </c>
      <c r="AE5">
        <v>2007</v>
      </c>
      <c r="AF5" s="3">
        <v>0</v>
      </c>
      <c r="AG5" t="s">
        <v>167</v>
      </c>
      <c r="AH5" t="s">
        <v>167</v>
      </c>
      <c r="AJ5">
        <v>0</v>
      </c>
      <c r="AK5" t="s">
        <v>167</v>
      </c>
      <c r="CU5" t="s">
        <v>167</v>
      </c>
      <c r="CX5" t="s">
        <v>167</v>
      </c>
      <c r="CZ5" t="s">
        <v>167</v>
      </c>
      <c r="DA5" t="s">
        <v>161</v>
      </c>
      <c r="DB5" t="s">
        <v>161</v>
      </c>
      <c r="DC5" t="s">
        <v>161</v>
      </c>
      <c r="DE5" t="s">
        <v>167</v>
      </c>
      <c r="DH5">
        <v>0</v>
      </c>
      <c r="DI5" t="s">
        <v>167</v>
      </c>
      <c r="DJ5" t="s">
        <v>167</v>
      </c>
      <c r="DL5" t="s">
        <v>167</v>
      </c>
      <c r="DO5" t="s">
        <v>168</v>
      </c>
      <c r="DQ5" t="s">
        <v>204</v>
      </c>
      <c r="DR5" s="3">
        <v>1</v>
      </c>
      <c r="DS5" s="3">
        <v>0</v>
      </c>
      <c r="DT5" s="3">
        <v>0</v>
      </c>
      <c r="DU5" s="3" t="s">
        <v>239</v>
      </c>
      <c r="DW5" s="3">
        <v>1</v>
      </c>
      <c r="EC5" s="3" t="s">
        <v>167</v>
      </c>
      <c r="ED5" s="3" t="s">
        <v>160</v>
      </c>
      <c r="EE5" s="3" t="s">
        <v>167</v>
      </c>
      <c r="EF5" t="s">
        <v>167</v>
      </c>
      <c r="EG5" s="3" t="s">
        <v>167</v>
      </c>
      <c r="EN5" s="3">
        <v>1</v>
      </c>
      <c r="ER5" s="3">
        <v>1</v>
      </c>
      <c r="ES5" t="s">
        <v>167</v>
      </c>
      <c r="ET5" t="s">
        <v>160</v>
      </c>
      <c r="EU5" t="s">
        <v>160</v>
      </c>
      <c r="EV5" t="s">
        <v>167</v>
      </c>
      <c r="EW5" t="s">
        <v>160</v>
      </c>
      <c r="EX5" t="s">
        <v>160</v>
      </c>
      <c r="EZ5" t="s">
        <v>177</v>
      </c>
      <c r="FA5">
        <v>6.2</v>
      </c>
      <c r="FB5">
        <v>150</v>
      </c>
      <c r="FC5">
        <v>291</v>
      </c>
      <c r="FD5" t="s">
        <v>167</v>
      </c>
      <c r="FE5">
        <v>4</v>
      </c>
      <c r="FF5" t="s">
        <v>167</v>
      </c>
      <c r="FG5">
        <v>1.6</v>
      </c>
      <c r="FH5">
        <v>0.4</v>
      </c>
      <c r="FI5">
        <v>0.1</v>
      </c>
      <c r="FJ5">
        <v>0.1</v>
      </c>
      <c r="FK5">
        <v>5</v>
      </c>
      <c r="FL5">
        <v>60</v>
      </c>
      <c r="FM5" t="s">
        <v>178</v>
      </c>
      <c r="FN5">
        <v>5</v>
      </c>
      <c r="FO5">
        <v>0</v>
      </c>
      <c r="GE5">
        <v>0</v>
      </c>
      <c r="GF5" t="s">
        <v>175</v>
      </c>
      <c r="GG5">
        <v>0.83</v>
      </c>
      <c r="GH5">
        <v>0.23</v>
      </c>
      <c r="GR5">
        <v>0</v>
      </c>
      <c r="GS5">
        <v>0</v>
      </c>
      <c r="GY5" t="s">
        <v>412</v>
      </c>
      <c r="GZ5">
        <v>12.4</v>
      </c>
      <c r="HA5">
        <v>3.63</v>
      </c>
      <c r="HB5" s="6">
        <v>9.92E-3</v>
      </c>
      <c r="HC5">
        <v>47.3</v>
      </c>
      <c r="HD5">
        <v>49.1</v>
      </c>
      <c r="HE5">
        <v>63.7</v>
      </c>
      <c r="HF5">
        <v>0.01</v>
      </c>
      <c r="HG5">
        <v>1.4</v>
      </c>
      <c r="HH5">
        <v>8.15</v>
      </c>
      <c r="HI5">
        <v>54.4</v>
      </c>
      <c r="HJ5">
        <v>25.7</v>
      </c>
      <c r="HK5">
        <v>7.06</v>
      </c>
      <c r="HL5">
        <v>44.9</v>
      </c>
      <c r="HM5">
        <v>30.8</v>
      </c>
      <c r="HN5">
        <v>14.4</v>
      </c>
      <c r="HO5">
        <v>40.4</v>
      </c>
      <c r="HP5">
        <v>53.6</v>
      </c>
      <c r="HQ5">
        <v>5.92</v>
      </c>
      <c r="HR5">
        <v>21.9</v>
      </c>
      <c r="HS5">
        <v>9.59</v>
      </c>
      <c r="HT5">
        <v>43.2</v>
      </c>
      <c r="HU5">
        <v>6.86</v>
      </c>
      <c r="HV5">
        <v>42.9</v>
      </c>
      <c r="HW5">
        <v>2.66</v>
      </c>
      <c r="HX5">
        <v>42.4</v>
      </c>
      <c r="HY5">
        <v>12</v>
      </c>
      <c r="HZ5">
        <v>27.8</v>
      </c>
      <c r="IA5">
        <v>3.91</v>
      </c>
      <c r="IB5">
        <v>24.3</v>
      </c>
      <c r="IC5">
        <v>26.8</v>
      </c>
      <c r="ID5">
        <v>45</v>
      </c>
      <c r="IE5">
        <v>19.3</v>
      </c>
      <c r="IF5">
        <v>6.83</v>
      </c>
      <c r="IG5">
        <v>23.3</v>
      </c>
      <c r="IH5">
        <v>53.2</v>
      </c>
      <c r="II5">
        <v>12</v>
      </c>
      <c r="IJ5">
        <v>29.2</v>
      </c>
      <c r="IK5">
        <v>34</v>
      </c>
      <c r="IL5">
        <v>1.4</v>
      </c>
      <c r="IM5">
        <v>2.15</v>
      </c>
      <c r="IN5">
        <v>2.17</v>
      </c>
      <c r="IO5">
        <v>2.44</v>
      </c>
      <c r="IP5">
        <v>76.3</v>
      </c>
      <c r="IQ5">
        <v>20.8</v>
      </c>
      <c r="IR5">
        <v>2.68</v>
      </c>
      <c r="IS5">
        <v>91.1</v>
      </c>
      <c r="IT5">
        <v>6</v>
      </c>
      <c r="IU5">
        <v>27.7</v>
      </c>
      <c r="IV5">
        <v>1.7</v>
      </c>
      <c r="IW5">
        <v>64.599999999999994</v>
      </c>
      <c r="IX5">
        <v>0.28999999999999998</v>
      </c>
      <c r="IY5">
        <v>3.64</v>
      </c>
      <c r="IZ5">
        <v>74.7</v>
      </c>
      <c r="JA5">
        <v>77.7</v>
      </c>
      <c r="JB5">
        <v>0.18</v>
      </c>
      <c r="JC5">
        <v>2.68</v>
      </c>
      <c r="JD5">
        <v>40.5</v>
      </c>
      <c r="JE5">
        <v>-36.9</v>
      </c>
      <c r="JF5">
        <v>384</v>
      </c>
      <c r="JG5">
        <v>328</v>
      </c>
      <c r="JH5">
        <v>314</v>
      </c>
      <c r="JI5">
        <v>1082</v>
      </c>
      <c r="JJ5">
        <v>131</v>
      </c>
      <c r="JK5">
        <v>7.1</v>
      </c>
    </row>
    <row r="6" spans="1:271" x14ac:dyDescent="0.2">
      <c r="A6">
        <v>51</v>
      </c>
      <c r="B6" t="s">
        <v>159</v>
      </c>
      <c r="C6" t="s">
        <v>346</v>
      </c>
      <c r="D6" s="1">
        <v>18604</v>
      </c>
      <c r="E6" s="24">
        <v>71.490410958904107</v>
      </c>
      <c r="F6" s="3" t="s">
        <v>220</v>
      </c>
      <c r="G6" t="s">
        <v>169</v>
      </c>
      <c r="H6" t="s">
        <v>321</v>
      </c>
      <c r="I6" t="s">
        <v>164</v>
      </c>
      <c r="J6">
        <v>0</v>
      </c>
      <c r="K6">
        <v>0</v>
      </c>
      <c r="L6">
        <v>0</v>
      </c>
      <c r="M6">
        <v>0</v>
      </c>
      <c r="N6">
        <v>0</v>
      </c>
      <c r="O6" t="s">
        <v>164</v>
      </c>
      <c r="P6">
        <v>4</v>
      </c>
      <c r="Q6" t="s">
        <v>165</v>
      </c>
      <c r="R6">
        <v>16</v>
      </c>
      <c r="S6">
        <v>6</v>
      </c>
      <c r="T6" s="3">
        <v>2014</v>
      </c>
      <c r="U6" s="3">
        <f t="shared" ref="U6:U10" si="6">2022-T6</f>
        <v>8</v>
      </c>
      <c r="AF6" s="3">
        <v>1</v>
      </c>
      <c r="AG6" t="s">
        <v>167</v>
      </c>
      <c r="AH6" t="s">
        <v>167</v>
      </c>
      <c r="AI6" t="s">
        <v>322</v>
      </c>
      <c r="AJ6">
        <v>3</v>
      </c>
      <c r="AK6" t="s">
        <v>167</v>
      </c>
      <c r="CP6" t="s">
        <v>167</v>
      </c>
      <c r="CQ6" t="s">
        <v>167</v>
      </c>
      <c r="CS6" t="s">
        <v>167</v>
      </c>
      <c r="CU6" t="s">
        <v>160</v>
      </c>
      <c r="CV6" t="s">
        <v>192</v>
      </c>
      <c r="CX6" t="s">
        <v>167</v>
      </c>
      <c r="CZ6" t="s">
        <v>160</v>
      </c>
      <c r="DA6" t="s">
        <v>162</v>
      </c>
      <c r="DB6" t="s">
        <v>162</v>
      </c>
      <c r="DC6" t="s">
        <v>162</v>
      </c>
      <c r="DD6" t="s">
        <v>323</v>
      </c>
      <c r="DE6" t="s">
        <v>160</v>
      </c>
      <c r="DF6" t="s">
        <v>160</v>
      </c>
      <c r="DG6" t="s">
        <v>324</v>
      </c>
      <c r="DI6" t="s">
        <v>167</v>
      </c>
      <c r="DJ6" t="s">
        <v>167</v>
      </c>
      <c r="DL6" t="s">
        <v>167</v>
      </c>
      <c r="DO6" t="s">
        <v>168</v>
      </c>
      <c r="DQ6" t="s">
        <v>325</v>
      </c>
      <c r="DR6">
        <v>1</v>
      </c>
      <c r="DS6">
        <v>1</v>
      </c>
      <c r="DT6">
        <v>1</v>
      </c>
      <c r="DU6"/>
      <c r="DV6"/>
      <c r="DW6"/>
      <c r="DX6"/>
      <c r="DY6"/>
      <c r="DZ6"/>
      <c r="EA6"/>
      <c r="EB6">
        <v>1</v>
      </c>
      <c r="EC6" t="s">
        <v>167</v>
      </c>
      <c r="ED6" t="s">
        <v>167</v>
      </c>
      <c r="EE6" t="s">
        <v>167</v>
      </c>
      <c r="EF6" t="s">
        <v>167</v>
      </c>
      <c r="EG6" s="3" t="s">
        <v>167</v>
      </c>
      <c r="EH6"/>
      <c r="EI6"/>
      <c r="EJ6"/>
      <c r="EK6"/>
      <c r="EL6"/>
      <c r="EM6"/>
      <c r="EN6">
        <v>1</v>
      </c>
      <c r="EO6"/>
      <c r="EP6"/>
      <c r="EQ6"/>
      <c r="ER6">
        <v>0</v>
      </c>
      <c r="ES6" t="s">
        <v>167</v>
      </c>
      <c r="ET6" t="s">
        <v>160</v>
      </c>
      <c r="EU6" t="s">
        <v>160</v>
      </c>
      <c r="EV6" t="s">
        <v>167</v>
      </c>
      <c r="EW6" t="s">
        <v>167</v>
      </c>
      <c r="EX6" t="s">
        <v>160</v>
      </c>
      <c r="EY6">
        <v>4</v>
      </c>
      <c r="EZ6" t="s">
        <v>326</v>
      </c>
      <c r="FA6">
        <v>6.5</v>
      </c>
      <c r="FB6">
        <v>114</v>
      </c>
      <c r="FC6">
        <v>365</v>
      </c>
      <c r="FD6" t="s">
        <v>167</v>
      </c>
      <c r="FE6">
        <v>3.8</v>
      </c>
      <c r="FF6" t="s">
        <v>167</v>
      </c>
      <c r="FG6">
        <v>2.1</v>
      </c>
      <c r="FH6">
        <v>0.4</v>
      </c>
      <c r="FI6">
        <v>0.2</v>
      </c>
      <c r="FJ6">
        <v>0.1</v>
      </c>
      <c r="FK6">
        <v>4</v>
      </c>
      <c r="FL6">
        <v>55</v>
      </c>
      <c r="FM6">
        <v>90</v>
      </c>
      <c r="FN6">
        <v>54</v>
      </c>
      <c r="FO6">
        <v>0</v>
      </c>
      <c r="GE6">
        <v>0</v>
      </c>
      <c r="GF6" t="s">
        <v>175</v>
      </c>
      <c r="GG6">
        <v>0.86</v>
      </c>
      <c r="GH6">
        <v>0.24</v>
      </c>
      <c r="GV6">
        <v>3</v>
      </c>
      <c r="GY6" s="4" t="s">
        <v>346</v>
      </c>
      <c r="GZ6" s="4">
        <v>4.46</v>
      </c>
      <c r="HA6" s="4">
        <v>5.0999999999999996</v>
      </c>
      <c r="HB6" s="4">
        <v>1.33</v>
      </c>
      <c r="HC6" s="4">
        <v>46.1</v>
      </c>
      <c r="HD6" s="4">
        <v>47.3</v>
      </c>
      <c r="HE6" s="4">
        <v>85.6</v>
      </c>
      <c r="HF6" s="4">
        <v>2.8000000000000001E-2</v>
      </c>
      <c r="HG6" s="4">
        <v>1.37</v>
      </c>
      <c r="HH6" s="4">
        <v>0.68</v>
      </c>
      <c r="HI6" s="4">
        <v>83.6</v>
      </c>
      <c r="HJ6" s="4">
        <v>34.299999999999997</v>
      </c>
      <c r="HK6" s="4">
        <v>3.38</v>
      </c>
      <c r="HL6" s="4">
        <v>3.23</v>
      </c>
      <c r="HM6" s="4">
        <v>17.8</v>
      </c>
      <c r="HN6" s="4">
        <v>73.8</v>
      </c>
      <c r="HO6" s="4">
        <v>87.1</v>
      </c>
      <c r="HP6" s="4">
        <v>52.5</v>
      </c>
      <c r="HQ6" s="4">
        <v>6.07</v>
      </c>
      <c r="HR6" s="4">
        <v>16.7</v>
      </c>
      <c r="HS6" s="4">
        <v>24.8</v>
      </c>
      <c r="HT6" s="4">
        <v>2.9</v>
      </c>
      <c r="HU6" s="4">
        <v>6.02</v>
      </c>
      <c r="HV6" s="4">
        <v>46.8</v>
      </c>
      <c r="HW6" s="4">
        <v>6.85</v>
      </c>
      <c r="HX6" s="4">
        <v>25</v>
      </c>
      <c r="HY6" s="4">
        <v>21.3</v>
      </c>
      <c r="HZ6" s="4">
        <v>48.7</v>
      </c>
      <c r="IA6" s="4">
        <v>1.4</v>
      </c>
      <c r="IB6" s="4">
        <v>28.5</v>
      </c>
      <c r="IC6" s="4">
        <v>68.099999999999994</v>
      </c>
      <c r="ID6" s="4">
        <v>1.1599999999999999</v>
      </c>
      <c r="IE6" s="4">
        <v>2.89</v>
      </c>
      <c r="IF6" s="4">
        <v>36.200000000000003</v>
      </c>
      <c r="IG6" s="4">
        <v>13.3</v>
      </c>
      <c r="IH6" s="4">
        <v>16.100000000000001</v>
      </c>
      <c r="II6" s="4">
        <v>28.6</v>
      </c>
      <c r="IJ6" s="4">
        <v>19</v>
      </c>
      <c r="IK6" s="4">
        <v>22.4</v>
      </c>
      <c r="IL6" s="4">
        <v>6.28</v>
      </c>
      <c r="IM6" s="4">
        <v>8.01</v>
      </c>
      <c r="IN6" s="4">
        <v>0.86</v>
      </c>
      <c r="IO6" s="4">
        <v>0.84</v>
      </c>
      <c r="IP6" s="4">
        <v>51.9</v>
      </c>
      <c r="IQ6" s="4">
        <v>23.9</v>
      </c>
      <c r="IR6" s="4">
        <v>23.7</v>
      </c>
      <c r="IS6" s="4">
        <v>71.400000000000006</v>
      </c>
      <c r="IT6" s="4">
        <v>27.2</v>
      </c>
      <c r="IU6" s="4">
        <v>1.57</v>
      </c>
      <c r="IV6" s="4">
        <v>4.33</v>
      </c>
      <c r="IW6" s="4">
        <v>91</v>
      </c>
      <c r="IX6" s="4">
        <v>10.8</v>
      </c>
      <c r="IY6" s="4">
        <v>24.8</v>
      </c>
      <c r="IZ6" s="4">
        <v>76.5</v>
      </c>
      <c r="JA6" s="4">
        <v>73.900000000000006</v>
      </c>
      <c r="JB6" s="4">
        <v>3.84</v>
      </c>
      <c r="JC6" s="4">
        <v>8.2200000000000006</v>
      </c>
      <c r="JD6" s="4">
        <v>81.099999999999994</v>
      </c>
      <c r="JE6" s="4">
        <v>99</v>
      </c>
      <c r="JF6" s="4">
        <v>736</v>
      </c>
      <c r="JG6" s="4">
        <v>488</v>
      </c>
      <c r="JH6" s="4">
        <v>339</v>
      </c>
      <c r="JI6" s="4">
        <v>259</v>
      </c>
      <c r="JJ6" s="4">
        <v>150</v>
      </c>
      <c r="JK6" s="4">
        <v>-4.5199999999999996</v>
      </c>
    </row>
    <row r="7" spans="1:271" x14ac:dyDescent="0.2">
      <c r="A7">
        <v>53</v>
      </c>
      <c r="B7" t="s">
        <v>159</v>
      </c>
      <c r="C7" t="s">
        <v>347</v>
      </c>
      <c r="D7" s="1">
        <v>26862</v>
      </c>
      <c r="E7" s="24">
        <v>48.884931506849313</v>
      </c>
      <c r="F7" s="3" t="s">
        <v>221</v>
      </c>
      <c r="G7" t="s">
        <v>169</v>
      </c>
      <c r="H7" t="s">
        <v>327</v>
      </c>
      <c r="I7" t="s">
        <v>164</v>
      </c>
      <c r="J7">
        <v>0</v>
      </c>
      <c r="K7">
        <v>0</v>
      </c>
      <c r="L7">
        <v>4</v>
      </c>
      <c r="M7">
        <v>0</v>
      </c>
      <c r="N7">
        <v>0</v>
      </c>
      <c r="O7" t="s">
        <v>164</v>
      </c>
      <c r="P7">
        <v>0</v>
      </c>
      <c r="Q7" t="s">
        <v>164</v>
      </c>
      <c r="R7">
        <v>10</v>
      </c>
      <c r="S7">
        <v>3</v>
      </c>
      <c r="T7" s="3">
        <v>2002</v>
      </c>
      <c r="U7" s="3">
        <f t="shared" si="6"/>
        <v>20</v>
      </c>
      <c r="V7" t="s">
        <v>160</v>
      </c>
      <c r="W7">
        <v>2.5</v>
      </c>
      <c r="X7" s="2">
        <v>44105</v>
      </c>
      <c r="AF7" s="3">
        <v>1</v>
      </c>
      <c r="AG7" t="s">
        <v>167</v>
      </c>
      <c r="AH7" t="s">
        <v>167</v>
      </c>
      <c r="AI7" t="s">
        <v>328</v>
      </c>
      <c r="AJ7">
        <v>1</v>
      </c>
      <c r="AK7" t="s">
        <v>167</v>
      </c>
      <c r="AL7" t="s">
        <v>160</v>
      </c>
      <c r="AM7" t="s">
        <v>329</v>
      </c>
      <c r="AN7" t="s">
        <v>330</v>
      </c>
      <c r="AY7" t="s">
        <v>160</v>
      </c>
      <c r="CI7" t="s">
        <v>160</v>
      </c>
      <c r="CJ7" t="s">
        <v>331</v>
      </c>
      <c r="CK7" t="s">
        <v>332</v>
      </c>
      <c r="CP7" t="s">
        <v>167</v>
      </c>
      <c r="CQ7" t="s">
        <v>167</v>
      </c>
      <c r="CS7" t="s">
        <v>167</v>
      </c>
      <c r="CU7" t="s">
        <v>167</v>
      </c>
      <c r="CX7" t="s">
        <v>167</v>
      </c>
      <c r="CZ7" t="s">
        <v>167</v>
      </c>
      <c r="DA7" t="s">
        <v>161</v>
      </c>
      <c r="DB7" t="s">
        <v>161</v>
      </c>
      <c r="DC7" t="s">
        <v>161</v>
      </c>
      <c r="DD7" t="s">
        <v>333</v>
      </c>
      <c r="DE7" t="s">
        <v>167</v>
      </c>
      <c r="DH7">
        <v>0</v>
      </c>
      <c r="DI7" t="s">
        <v>167</v>
      </c>
      <c r="DJ7" t="s">
        <v>167</v>
      </c>
      <c r="DL7" t="s">
        <v>167</v>
      </c>
      <c r="DO7" t="s">
        <v>168</v>
      </c>
      <c r="DQ7" s="2">
        <v>44682</v>
      </c>
      <c r="DR7">
        <v>1</v>
      </c>
      <c r="DS7">
        <v>1</v>
      </c>
      <c r="DT7">
        <v>1</v>
      </c>
      <c r="DU7"/>
      <c r="DV7"/>
      <c r="DW7"/>
      <c r="DX7"/>
      <c r="DY7"/>
      <c r="DZ7"/>
      <c r="EA7"/>
      <c r="EB7">
        <v>1</v>
      </c>
      <c r="EC7" t="s">
        <v>167</v>
      </c>
      <c r="ED7" t="s">
        <v>167</v>
      </c>
      <c r="EE7" t="s">
        <v>167</v>
      </c>
      <c r="EF7" t="s">
        <v>167</v>
      </c>
      <c r="EG7" s="3" t="s">
        <v>167</v>
      </c>
      <c r="EH7"/>
      <c r="EI7"/>
      <c r="EJ7"/>
      <c r="EK7"/>
      <c r="EL7"/>
      <c r="EM7"/>
      <c r="EN7">
        <v>1</v>
      </c>
      <c r="EO7"/>
      <c r="EP7"/>
      <c r="EQ7"/>
      <c r="ER7">
        <v>0</v>
      </c>
      <c r="ES7" t="s">
        <v>167</v>
      </c>
      <c r="ET7" t="s">
        <v>160</v>
      </c>
      <c r="EU7" t="s">
        <v>160</v>
      </c>
      <c r="EV7" t="s">
        <v>167</v>
      </c>
      <c r="EW7" t="s">
        <v>167</v>
      </c>
      <c r="EX7" t="s">
        <v>160</v>
      </c>
      <c r="EY7">
        <v>2</v>
      </c>
      <c r="EZ7" t="s">
        <v>172</v>
      </c>
      <c r="FA7">
        <v>3.6</v>
      </c>
      <c r="FB7">
        <v>126</v>
      </c>
      <c r="FC7">
        <v>190</v>
      </c>
      <c r="FD7" t="s">
        <v>160</v>
      </c>
      <c r="FE7">
        <v>1.2</v>
      </c>
      <c r="FF7" t="s">
        <v>167</v>
      </c>
      <c r="FG7">
        <v>1.9</v>
      </c>
      <c r="FH7">
        <v>0.4</v>
      </c>
      <c r="FI7">
        <v>0.2</v>
      </c>
      <c r="FJ7">
        <v>0</v>
      </c>
      <c r="FK7">
        <v>3.9</v>
      </c>
      <c r="FL7">
        <v>71</v>
      </c>
      <c r="FM7">
        <v>87</v>
      </c>
      <c r="FN7">
        <v>46</v>
      </c>
      <c r="FO7">
        <v>3</v>
      </c>
      <c r="FP7" t="s">
        <v>167</v>
      </c>
      <c r="FQ7">
        <v>31</v>
      </c>
      <c r="FS7">
        <v>1.58</v>
      </c>
      <c r="GE7">
        <v>42</v>
      </c>
      <c r="GG7">
        <v>1.24</v>
      </c>
      <c r="GH7">
        <v>0.11</v>
      </c>
      <c r="GI7" t="s">
        <v>193</v>
      </c>
      <c r="GJ7">
        <v>1.9</v>
      </c>
      <c r="GK7">
        <v>0</v>
      </c>
      <c r="GL7">
        <v>17</v>
      </c>
      <c r="GM7">
        <v>0</v>
      </c>
      <c r="GN7">
        <v>0</v>
      </c>
      <c r="GO7">
        <v>0</v>
      </c>
      <c r="GR7">
        <v>0</v>
      </c>
      <c r="GS7">
        <v>0</v>
      </c>
      <c r="GU7">
        <v>14.7</v>
      </c>
      <c r="GY7" s="4" t="s">
        <v>347</v>
      </c>
      <c r="GZ7" s="4">
        <v>4.67</v>
      </c>
      <c r="HA7" s="4">
        <v>10.8</v>
      </c>
      <c r="HB7" s="4">
        <v>0.26</v>
      </c>
      <c r="HC7" s="4">
        <v>57.1</v>
      </c>
      <c r="HD7" s="4">
        <v>31.3</v>
      </c>
      <c r="HE7" s="4">
        <v>70</v>
      </c>
      <c r="HF7" s="4">
        <v>1.4999999999999999E-2</v>
      </c>
      <c r="HG7" s="4">
        <v>0.27</v>
      </c>
      <c r="HH7" s="4">
        <v>4.47</v>
      </c>
      <c r="HI7" s="4">
        <v>65.3</v>
      </c>
      <c r="HJ7" s="4">
        <v>45.1</v>
      </c>
      <c r="HK7" s="4">
        <v>6.27</v>
      </c>
      <c r="HL7" s="4">
        <v>51.5</v>
      </c>
      <c r="HM7" s="4">
        <v>23.3</v>
      </c>
      <c r="HN7" s="4">
        <v>12.8</v>
      </c>
      <c r="HO7" s="4">
        <v>36.1</v>
      </c>
      <c r="HP7" s="4">
        <v>69.8</v>
      </c>
      <c r="HQ7" s="4">
        <v>2.62</v>
      </c>
      <c r="HR7" s="4">
        <v>13.4</v>
      </c>
      <c r="HS7" s="4">
        <v>14.2</v>
      </c>
      <c r="HT7" s="4">
        <v>50.1</v>
      </c>
      <c r="HU7" s="4">
        <v>4.4400000000000004</v>
      </c>
      <c r="HV7" s="4">
        <v>40.9</v>
      </c>
      <c r="HW7" s="4">
        <v>4.4000000000000004</v>
      </c>
      <c r="HX7" s="4">
        <v>45</v>
      </c>
      <c r="HY7" s="4">
        <v>9.69</v>
      </c>
      <c r="HZ7" s="4">
        <v>19.100000000000001</v>
      </c>
      <c r="IA7" s="4">
        <v>4.04</v>
      </c>
      <c r="IB7" s="4">
        <v>12.9</v>
      </c>
      <c r="IC7" s="4">
        <v>59.8</v>
      </c>
      <c r="ID7" s="4">
        <v>19.2</v>
      </c>
      <c r="IE7" s="4">
        <v>20.7</v>
      </c>
      <c r="IF7" s="4">
        <v>8.4700000000000006</v>
      </c>
      <c r="IG7" s="4">
        <v>6.58</v>
      </c>
      <c r="IH7" s="4">
        <v>81.900000000000006</v>
      </c>
      <c r="II7" s="4">
        <v>2.27</v>
      </c>
      <c r="IJ7" s="4">
        <v>12.3</v>
      </c>
      <c r="IK7" s="4">
        <v>45.6</v>
      </c>
      <c r="IL7" s="4">
        <v>0.4</v>
      </c>
      <c r="IM7" s="4">
        <v>4.3099999999999996</v>
      </c>
      <c r="IN7" s="4">
        <v>1.0900000000000001</v>
      </c>
      <c r="IO7" s="4">
        <v>7.27</v>
      </c>
      <c r="IP7" s="4">
        <v>87.7</v>
      </c>
      <c r="IQ7" s="4">
        <v>7.38</v>
      </c>
      <c r="IR7" s="4">
        <v>3.32</v>
      </c>
      <c r="IS7" s="4">
        <v>85.3</v>
      </c>
      <c r="IT7" s="4">
        <v>5.46</v>
      </c>
      <c r="IU7" s="4">
        <v>26.4</v>
      </c>
      <c r="IV7" s="4">
        <v>11.2</v>
      </c>
      <c r="IW7" s="4">
        <v>60.2</v>
      </c>
      <c r="IX7" s="4">
        <v>2.39</v>
      </c>
      <c r="IY7" s="4">
        <v>16.5</v>
      </c>
      <c r="IZ7" s="4">
        <v>79.8</v>
      </c>
      <c r="JA7" s="4">
        <v>88.6</v>
      </c>
      <c r="JB7" s="4">
        <v>1.19</v>
      </c>
      <c r="JC7" s="4">
        <v>4.72</v>
      </c>
      <c r="JD7" s="4">
        <v>39.9</v>
      </c>
      <c r="JE7" s="4">
        <v>20</v>
      </c>
      <c r="JF7" s="4">
        <v>540</v>
      </c>
      <c r="JG7" s="4">
        <v>551</v>
      </c>
      <c r="JH7" s="4">
        <v>409</v>
      </c>
      <c r="JI7" s="4">
        <v>280</v>
      </c>
      <c r="JJ7" s="4">
        <v>19.7</v>
      </c>
      <c r="JK7" s="4">
        <v>34.700000000000003</v>
      </c>
    </row>
    <row r="8" spans="1:271" x14ac:dyDescent="0.2">
      <c r="A8">
        <v>74</v>
      </c>
      <c r="B8" t="s">
        <v>159</v>
      </c>
      <c r="C8" t="s">
        <v>413</v>
      </c>
      <c r="D8" s="1">
        <v>35035</v>
      </c>
      <c r="E8" s="24">
        <f ca="1">(TODAY()-D8)/365</f>
        <v>28.495890410958904</v>
      </c>
      <c r="F8" t="s">
        <v>217</v>
      </c>
      <c r="G8" t="s">
        <v>169</v>
      </c>
      <c r="H8" t="s">
        <v>206</v>
      </c>
      <c r="I8" t="s">
        <v>165</v>
      </c>
      <c r="J8">
        <v>0</v>
      </c>
      <c r="K8">
        <v>0</v>
      </c>
      <c r="L8">
        <v>6</v>
      </c>
      <c r="M8">
        <v>0</v>
      </c>
      <c r="N8">
        <v>0</v>
      </c>
      <c r="O8" t="s">
        <v>164</v>
      </c>
      <c r="P8">
        <v>4</v>
      </c>
      <c r="Q8" t="s">
        <v>165</v>
      </c>
      <c r="R8">
        <v>24</v>
      </c>
      <c r="S8">
        <v>2</v>
      </c>
      <c r="T8" s="3">
        <v>2011</v>
      </c>
      <c r="U8" s="3">
        <f t="shared" si="6"/>
        <v>11</v>
      </c>
      <c r="V8" s="3"/>
      <c r="AC8" t="s">
        <v>160</v>
      </c>
      <c r="AD8">
        <v>200</v>
      </c>
      <c r="AE8">
        <v>2011</v>
      </c>
      <c r="AF8" s="3">
        <v>1</v>
      </c>
      <c r="AG8" t="s">
        <v>167</v>
      </c>
      <c r="AH8" t="s">
        <v>167</v>
      </c>
      <c r="AI8" t="s">
        <v>207</v>
      </c>
      <c r="AJ8">
        <v>1</v>
      </c>
      <c r="AK8" t="s">
        <v>167</v>
      </c>
      <c r="AL8" t="s">
        <v>160</v>
      </c>
      <c r="AM8" t="s">
        <v>208</v>
      </c>
      <c r="AN8" t="s">
        <v>209</v>
      </c>
      <c r="AV8" t="s">
        <v>160</v>
      </c>
      <c r="AW8">
        <v>400</v>
      </c>
      <c r="AX8" t="s">
        <v>210</v>
      </c>
      <c r="CP8" t="s">
        <v>167</v>
      </c>
      <c r="CQ8" t="s">
        <v>167</v>
      </c>
      <c r="CS8" t="s">
        <v>167</v>
      </c>
      <c r="CU8" t="s">
        <v>167</v>
      </c>
      <c r="CX8" t="s">
        <v>167</v>
      </c>
      <c r="CZ8" t="s">
        <v>167</v>
      </c>
      <c r="DA8" t="s">
        <v>161</v>
      </c>
      <c r="DB8" t="s">
        <v>161</v>
      </c>
      <c r="DC8" t="s">
        <v>161</v>
      </c>
      <c r="DE8" t="s">
        <v>167</v>
      </c>
      <c r="DH8">
        <v>0</v>
      </c>
      <c r="DI8" t="s">
        <v>167</v>
      </c>
      <c r="DJ8" t="s">
        <v>167</v>
      </c>
      <c r="DL8" t="s">
        <v>167</v>
      </c>
      <c r="DO8" t="s">
        <v>168</v>
      </c>
      <c r="DQ8" t="s">
        <v>211</v>
      </c>
      <c r="DR8" s="3">
        <v>2</v>
      </c>
      <c r="DS8" s="3">
        <v>2</v>
      </c>
      <c r="DT8" s="3">
        <v>2</v>
      </c>
      <c r="EB8" s="3">
        <v>2</v>
      </c>
      <c r="EC8" s="3" t="s">
        <v>167</v>
      </c>
      <c r="ED8" s="3" t="s">
        <v>167</v>
      </c>
      <c r="EE8" s="3" t="s">
        <v>167</v>
      </c>
      <c r="EF8" t="s">
        <v>167</v>
      </c>
      <c r="EG8" s="3" t="s">
        <v>167</v>
      </c>
      <c r="EN8" s="3">
        <v>2</v>
      </c>
      <c r="ER8" s="3">
        <v>0</v>
      </c>
      <c r="ES8" t="s">
        <v>167</v>
      </c>
      <c r="ET8" t="s">
        <v>160</v>
      </c>
      <c r="EU8" t="s">
        <v>160</v>
      </c>
      <c r="EV8" t="s">
        <v>167</v>
      </c>
      <c r="EW8" t="s">
        <v>160</v>
      </c>
      <c r="EX8" t="s">
        <v>160</v>
      </c>
      <c r="EZ8" t="s">
        <v>177</v>
      </c>
      <c r="FA8">
        <v>4.5999999999999996</v>
      </c>
      <c r="FB8">
        <v>137</v>
      </c>
      <c r="FC8">
        <v>315</v>
      </c>
      <c r="FD8" s="4" t="s">
        <v>160</v>
      </c>
      <c r="FE8">
        <v>1.8</v>
      </c>
      <c r="FF8" t="s">
        <v>167</v>
      </c>
      <c r="FG8">
        <v>2.2000000000000002</v>
      </c>
      <c r="FH8">
        <v>0.4</v>
      </c>
      <c r="FI8">
        <v>0.2</v>
      </c>
      <c r="FJ8">
        <v>0</v>
      </c>
      <c r="FK8">
        <v>6.4</v>
      </c>
      <c r="FL8">
        <v>72</v>
      </c>
      <c r="FM8" t="s">
        <v>178</v>
      </c>
      <c r="FN8">
        <v>27</v>
      </c>
      <c r="FO8" t="s">
        <v>212</v>
      </c>
      <c r="GE8">
        <v>46</v>
      </c>
      <c r="GF8" t="s">
        <v>173</v>
      </c>
      <c r="GG8">
        <v>1.01</v>
      </c>
      <c r="GH8">
        <v>0.09</v>
      </c>
      <c r="GK8">
        <v>0</v>
      </c>
      <c r="GM8">
        <v>0</v>
      </c>
      <c r="GN8">
        <v>0</v>
      </c>
      <c r="GS8">
        <v>0</v>
      </c>
      <c r="GV8">
        <v>0.5</v>
      </c>
      <c r="GY8" t="s">
        <v>413</v>
      </c>
      <c r="GZ8">
        <v>2.0099999999999998</v>
      </c>
      <c r="HA8">
        <v>12.9</v>
      </c>
      <c r="HB8">
        <v>5.6000000000000001E-2</v>
      </c>
      <c r="HC8">
        <v>59</v>
      </c>
      <c r="HD8">
        <v>28</v>
      </c>
      <c r="HE8">
        <v>68.3</v>
      </c>
      <c r="HF8" s="6">
        <v>5.2900000000000004E-3</v>
      </c>
      <c r="HG8">
        <v>1.26</v>
      </c>
      <c r="HH8">
        <v>5.83</v>
      </c>
      <c r="HI8">
        <v>61.6</v>
      </c>
      <c r="HJ8">
        <v>32.799999999999997</v>
      </c>
      <c r="HK8">
        <v>11.9</v>
      </c>
      <c r="HL8">
        <v>42.3</v>
      </c>
      <c r="HM8">
        <v>21.5</v>
      </c>
      <c r="HN8">
        <v>22.9</v>
      </c>
      <c r="HO8">
        <v>38.4</v>
      </c>
      <c r="HP8">
        <v>63.7</v>
      </c>
      <c r="HQ8">
        <v>2.39</v>
      </c>
      <c r="HR8">
        <v>27.1</v>
      </c>
      <c r="HS8">
        <v>4.05</v>
      </c>
      <c r="HT8">
        <v>42</v>
      </c>
      <c r="HU8">
        <v>6.98</v>
      </c>
      <c r="HV8">
        <v>48.8</v>
      </c>
      <c r="HW8">
        <v>0.42</v>
      </c>
      <c r="HX8">
        <v>49.8</v>
      </c>
      <c r="HY8">
        <v>0.96</v>
      </c>
      <c r="HZ8">
        <v>27.5</v>
      </c>
      <c r="IA8">
        <v>2.19</v>
      </c>
      <c r="IB8">
        <v>23.2</v>
      </c>
      <c r="IC8">
        <v>23.1</v>
      </c>
      <c r="ID8">
        <v>51.4</v>
      </c>
      <c r="IE8">
        <v>26.7</v>
      </c>
      <c r="IF8">
        <v>9.2100000000000009</v>
      </c>
      <c r="IG8">
        <v>13</v>
      </c>
      <c r="IH8">
        <v>69.2</v>
      </c>
      <c r="II8">
        <v>6.54</v>
      </c>
      <c r="IJ8">
        <v>10.5</v>
      </c>
      <c r="IK8">
        <v>37.5</v>
      </c>
      <c r="IL8">
        <v>0.4</v>
      </c>
      <c r="IM8">
        <v>2.0099999999999998</v>
      </c>
      <c r="IN8">
        <v>2.72</v>
      </c>
      <c r="IO8">
        <v>2.4700000000000002</v>
      </c>
      <c r="IP8">
        <v>94.6</v>
      </c>
      <c r="IQ8">
        <v>3.11</v>
      </c>
      <c r="IR8">
        <v>1.1499999999999999</v>
      </c>
      <c r="IS8">
        <v>95.6</v>
      </c>
      <c r="IT8">
        <v>0.34</v>
      </c>
      <c r="IU8">
        <v>35</v>
      </c>
      <c r="IV8">
        <v>9.76</v>
      </c>
      <c r="IW8">
        <v>47.8</v>
      </c>
      <c r="IX8">
        <v>0.82</v>
      </c>
      <c r="IY8">
        <v>18.8</v>
      </c>
      <c r="IZ8">
        <v>64.2</v>
      </c>
      <c r="JA8">
        <v>66.099999999999994</v>
      </c>
      <c r="JB8">
        <v>0.2</v>
      </c>
      <c r="JC8">
        <v>3.93</v>
      </c>
      <c r="JD8">
        <v>26.2</v>
      </c>
      <c r="JE8">
        <v>36.200000000000003</v>
      </c>
      <c r="JF8">
        <v>842</v>
      </c>
      <c r="JG8">
        <v>917</v>
      </c>
      <c r="JH8">
        <v>628</v>
      </c>
      <c r="JI8">
        <v>907</v>
      </c>
      <c r="JJ8">
        <v>291</v>
      </c>
      <c r="JK8">
        <v>0.7</v>
      </c>
    </row>
    <row r="9" spans="1:271" x14ac:dyDescent="0.2">
      <c r="A9">
        <v>75</v>
      </c>
      <c r="B9" t="s">
        <v>159</v>
      </c>
      <c r="C9" t="s">
        <v>414</v>
      </c>
      <c r="D9" s="1">
        <v>28304</v>
      </c>
      <c r="E9" s="24">
        <f ca="1">(TODAY()-D9)/365</f>
        <v>46.936986301369863</v>
      </c>
      <c r="F9" t="s">
        <v>220</v>
      </c>
      <c r="G9" t="s">
        <v>169</v>
      </c>
      <c r="H9" t="s">
        <v>213</v>
      </c>
      <c r="I9" t="s">
        <v>164</v>
      </c>
      <c r="J9">
        <v>4</v>
      </c>
      <c r="K9">
        <v>0</v>
      </c>
      <c r="L9">
        <v>4</v>
      </c>
      <c r="M9">
        <v>0</v>
      </c>
      <c r="N9">
        <v>0</v>
      </c>
      <c r="O9" t="s">
        <v>164</v>
      </c>
      <c r="P9">
        <v>4</v>
      </c>
      <c r="Q9" t="s">
        <v>165</v>
      </c>
      <c r="R9">
        <v>24</v>
      </c>
      <c r="S9">
        <v>9</v>
      </c>
      <c r="T9" s="3">
        <v>2019</v>
      </c>
      <c r="U9" s="3">
        <f t="shared" si="6"/>
        <v>3</v>
      </c>
      <c r="V9" s="3"/>
      <c r="AC9" t="s">
        <v>160</v>
      </c>
      <c r="AD9">
        <v>400</v>
      </c>
      <c r="AE9" s="1">
        <v>43732</v>
      </c>
      <c r="AF9" s="3">
        <v>0</v>
      </c>
      <c r="AG9" t="s">
        <v>167</v>
      </c>
      <c r="AH9" t="s">
        <v>167</v>
      </c>
      <c r="AJ9">
        <v>0</v>
      </c>
      <c r="AK9" t="s">
        <v>167</v>
      </c>
      <c r="CP9" t="s">
        <v>167</v>
      </c>
      <c r="CQ9" t="s">
        <v>167</v>
      </c>
      <c r="CS9" t="s">
        <v>167</v>
      </c>
      <c r="CU9" t="s">
        <v>167</v>
      </c>
      <c r="CX9" t="s">
        <v>167</v>
      </c>
      <c r="CZ9" t="s">
        <v>167</v>
      </c>
      <c r="DA9" t="s">
        <v>161</v>
      </c>
      <c r="DB9" t="s">
        <v>161</v>
      </c>
      <c r="DC9" t="s">
        <v>161</v>
      </c>
      <c r="DD9" t="s">
        <v>214</v>
      </c>
      <c r="DE9" t="s">
        <v>167</v>
      </c>
      <c r="DH9">
        <v>0</v>
      </c>
      <c r="DI9" t="s">
        <v>167</v>
      </c>
      <c r="DJ9" t="s">
        <v>167</v>
      </c>
      <c r="DL9" t="s">
        <v>167</v>
      </c>
      <c r="DO9" t="s">
        <v>174</v>
      </c>
      <c r="DP9">
        <v>3</v>
      </c>
      <c r="DQ9" t="s">
        <v>215</v>
      </c>
      <c r="DR9" s="3">
        <v>4</v>
      </c>
      <c r="DS9" s="3">
        <v>4</v>
      </c>
      <c r="DT9" s="3">
        <v>4</v>
      </c>
      <c r="DU9" s="3" t="s">
        <v>238</v>
      </c>
      <c r="DV9" s="3">
        <v>3</v>
      </c>
      <c r="EB9" s="3">
        <v>1</v>
      </c>
      <c r="EC9" s="3" t="s">
        <v>167</v>
      </c>
      <c r="ED9" s="3" t="s">
        <v>160</v>
      </c>
      <c r="EE9" s="3" t="s">
        <v>167</v>
      </c>
      <c r="EF9" t="s">
        <v>167</v>
      </c>
      <c r="EG9" s="3" t="s">
        <v>167</v>
      </c>
      <c r="EN9" s="3">
        <v>1</v>
      </c>
      <c r="EO9" s="3">
        <v>3</v>
      </c>
      <c r="ER9" s="3">
        <v>0</v>
      </c>
      <c r="ES9" t="s">
        <v>167</v>
      </c>
      <c r="ET9" t="s">
        <v>160</v>
      </c>
      <c r="EU9" t="s">
        <v>160</v>
      </c>
      <c r="EV9" t="s">
        <v>167</v>
      </c>
      <c r="EW9" t="s">
        <v>160</v>
      </c>
      <c r="EX9" t="s">
        <v>160</v>
      </c>
      <c r="EZ9" t="s">
        <v>177</v>
      </c>
      <c r="FA9">
        <v>5</v>
      </c>
      <c r="FB9">
        <v>144</v>
      </c>
      <c r="FC9">
        <v>111</v>
      </c>
      <c r="FD9" t="s">
        <v>167</v>
      </c>
      <c r="FE9">
        <v>2.7</v>
      </c>
      <c r="FF9" t="s">
        <v>167</v>
      </c>
      <c r="FG9">
        <v>1.8</v>
      </c>
      <c r="FH9">
        <v>0.4</v>
      </c>
      <c r="FI9">
        <v>0.1</v>
      </c>
      <c r="FJ9">
        <v>0</v>
      </c>
      <c r="FK9">
        <v>3.3</v>
      </c>
      <c r="FL9">
        <v>56</v>
      </c>
      <c r="FM9" t="s">
        <v>178</v>
      </c>
      <c r="FN9">
        <v>8</v>
      </c>
      <c r="FO9">
        <v>0</v>
      </c>
      <c r="GE9">
        <v>134</v>
      </c>
      <c r="GF9" t="s">
        <v>173</v>
      </c>
      <c r="GG9">
        <v>0.78</v>
      </c>
      <c r="GH9">
        <v>0.14000000000000001</v>
      </c>
      <c r="GK9">
        <v>0</v>
      </c>
      <c r="GL9">
        <v>945</v>
      </c>
      <c r="GM9">
        <v>0</v>
      </c>
      <c r="GN9">
        <v>0</v>
      </c>
      <c r="GO9">
        <v>0</v>
      </c>
      <c r="GU9">
        <v>33.299999999999997</v>
      </c>
      <c r="GY9" t="s">
        <v>414</v>
      </c>
      <c r="GZ9">
        <v>3.49</v>
      </c>
      <c r="HA9">
        <v>20.9</v>
      </c>
      <c r="HB9">
        <v>0.7</v>
      </c>
      <c r="HC9">
        <v>56.3</v>
      </c>
      <c r="HD9">
        <v>22.1</v>
      </c>
      <c r="HE9">
        <v>88.1</v>
      </c>
      <c r="HF9">
        <v>1.2999999999999999E-2</v>
      </c>
      <c r="HG9">
        <v>0.4</v>
      </c>
      <c r="HH9">
        <v>2.89</v>
      </c>
      <c r="HI9">
        <v>84.8</v>
      </c>
      <c r="HJ9">
        <v>33.1</v>
      </c>
      <c r="HK9">
        <v>4.79</v>
      </c>
      <c r="HL9">
        <v>38.4</v>
      </c>
      <c r="HM9">
        <v>16</v>
      </c>
      <c r="HN9">
        <v>38.700000000000003</v>
      </c>
      <c r="HO9">
        <v>51.4</v>
      </c>
      <c r="HP9">
        <v>68</v>
      </c>
      <c r="HQ9">
        <v>0.79</v>
      </c>
      <c r="HR9">
        <v>29.8</v>
      </c>
      <c r="HS9">
        <v>1.72</v>
      </c>
      <c r="HT9">
        <v>34.200000000000003</v>
      </c>
      <c r="HU9">
        <v>4.8</v>
      </c>
      <c r="HV9">
        <v>43.4</v>
      </c>
      <c r="HW9">
        <v>0.34</v>
      </c>
      <c r="HX9">
        <v>53</v>
      </c>
      <c r="HY9">
        <v>3.21</v>
      </c>
      <c r="HZ9">
        <v>50.6</v>
      </c>
      <c r="IA9">
        <v>1.35</v>
      </c>
      <c r="IB9">
        <v>17.8</v>
      </c>
      <c r="IC9">
        <v>50.6</v>
      </c>
      <c r="ID9">
        <v>30.1</v>
      </c>
      <c r="IE9">
        <v>7.1</v>
      </c>
      <c r="IF9">
        <v>19.8</v>
      </c>
      <c r="IG9">
        <v>15.9</v>
      </c>
      <c r="IH9">
        <v>51.7</v>
      </c>
      <c r="II9">
        <v>7.59</v>
      </c>
      <c r="IJ9">
        <v>14</v>
      </c>
      <c r="IK9">
        <v>34.799999999999997</v>
      </c>
      <c r="IL9">
        <v>2.5099999999999998</v>
      </c>
      <c r="IM9">
        <v>1.51</v>
      </c>
      <c r="IN9">
        <v>9.4</v>
      </c>
      <c r="IO9">
        <v>3.04</v>
      </c>
      <c r="IP9">
        <v>97.9</v>
      </c>
      <c r="IQ9">
        <v>0.08</v>
      </c>
      <c r="IR9">
        <v>0.52</v>
      </c>
      <c r="IS9">
        <v>95.1</v>
      </c>
      <c r="IT9">
        <v>4.4999999999999998E-2</v>
      </c>
      <c r="IU9">
        <v>25.1</v>
      </c>
      <c r="IV9">
        <v>28.2</v>
      </c>
      <c r="IW9">
        <v>43.4</v>
      </c>
      <c r="IX9">
        <v>2.67</v>
      </c>
      <c r="IY9">
        <v>20.5</v>
      </c>
      <c r="IZ9">
        <v>84.3</v>
      </c>
      <c r="JA9">
        <v>78</v>
      </c>
      <c r="JB9">
        <v>0.38</v>
      </c>
      <c r="JC9">
        <v>3.27</v>
      </c>
      <c r="JD9">
        <v>60.9</v>
      </c>
      <c r="JE9">
        <v>140</v>
      </c>
      <c r="JF9">
        <v>631</v>
      </c>
      <c r="JG9">
        <v>754</v>
      </c>
      <c r="JH9">
        <v>515</v>
      </c>
      <c r="JI9">
        <v>500</v>
      </c>
      <c r="JJ9">
        <v>171</v>
      </c>
      <c r="JK9">
        <v>43.9</v>
      </c>
    </row>
    <row r="10" spans="1:271" x14ac:dyDescent="0.2">
      <c r="A10">
        <v>80</v>
      </c>
      <c r="B10" t="s">
        <v>159</v>
      </c>
      <c r="C10" t="s">
        <v>348</v>
      </c>
      <c r="D10" s="1">
        <v>26138</v>
      </c>
      <c r="E10" s="24">
        <v>51.175342465753424</v>
      </c>
      <c r="F10" s="3" t="s">
        <v>221</v>
      </c>
      <c r="G10" t="s">
        <v>169</v>
      </c>
      <c r="H10" t="s">
        <v>334</v>
      </c>
      <c r="I10" t="s">
        <v>164</v>
      </c>
      <c r="J10">
        <v>0</v>
      </c>
      <c r="K10">
        <v>0</v>
      </c>
      <c r="L10">
        <v>6</v>
      </c>
      <c r="M10">
        <v>0</v>
      </c>
      <c r="N10">
        <v>0</v>
      </c>
      <c r="O10" t="s">
        <v>164</v>
      </c>
      <c r="P10">
        <v>3</v>
      </c>
      <c r="Q10" t="s">
        <v>165</v>
      </c>
      <c r="R10">
        <v>21</v>
      </c>
      <c r="S10">
        <v>13</v>
      </c>
      <c r="T10" s="3">
        <v>2009</v>
      </c>
      <c r="U10" s="3">
        <f t="shared" si="6"/>
        <v>13</v>
      </c>
      <c r="V10" t="s">
        <v>160</v>
      </c>
      <c r="W10">
        <v>3</v>
      </c>
      <c r="X10">
        <v>2009</v>
      </c>
      <c r="AC10" t="s">
        <v>160</v>
      </c>
      <c r="AD10">
        <v>400</v>
      </c>
      <c r="AE10">
        <v>2009</v>
      </c>
      <c r="AF10" s="3">
        <v>1</v>
      </c>
      <c r="AG10" t="s">
        <v>167</v>
      </c>
      <c r="AH10" t="s">
        <v>167</v>
      </c>
      <c r="AI10" t="s">
        <v>335</v>
      </c>
      <c r="AJ10">
        <v>1</v>
      </c>
      <c r="AK10" t="s">
        <v>167</v>
      </c>
      <c r="CP10" t="s">
        <v>167</v>
      </c>
      <c r="CQ10" t="s">
        <v>167</v>
      </c>
      <c r="CS10" t="s">
        <v>167</v>
      </c>
      <c r="CU10" t="s">
        <v>167</v>
      </c>
      <c r="CX10" t="s">
        <v>167</v>
      </c>
      <c r="CZ10" t="s">
        <v>167</v>
      </c>
      <c r="DA10" t="s">
        <v>161</v>
      </c>
      <c r="DB10" t="s">
        <v>161</v>
      </c>
      <c r="DC10" t="s">
        <v>161</v>
      </c>
      <c r="DD10" t="s">
        <v>336</v>
      </c>
      <c r="DE10" t="s">
        <v>167</v>
      </c>
      <c r="DH10">
        <v>0</v>
      </c>
      <c r="DI10" t="s">
        <v>167</v>
      </c>
      <c r="DJ10" t="s">
        <v>167</v>
      </c>
      <c r="DL10" t="s">
        <v>167</v>
      </c>
      <c r="DO10" t="s">
        <v>168</v>
      </c>
      <c r="DQ10" t="s">
        <v>337</v>
      </c>
      <c r="DR10">
        <v>1</v>
      </c>
      <c r="DS10">
        <v>0</v>
      </c>
      <c r="DT10">
        <v>0</v>
      </c>
      <c r="DU10" t="s">
        <v>113</v>
      </c>
      <c r="DV10"/>
      <c r="DW10">
        <v>1</v>
      </c>
      <c r="DX10"/>
      <c r="DY10"/>
      <c r="DZ10"/>
      <c r="EA10"/>
      <c r="EB10"/>
      <c r="EC10" t="s">
        <v>167</v>
      </c>
      <c r="ED10" t="s">
        <v>160</v>
      </c>
      <c r="EE10" t="s">
        <v>167</v>
      </c>
      <c r="EF10" t="s">
        <v>167</v>
      </c>
      <c r="EG10" s="3" t="s">
        <v>167</v>
      </c>
      <c r="EH10"/>
      <c r="EI10"/>
      <c r="EJ10"/>
      <c r="EK10"/>
      <c r="EL10"/>
      <c r="EM10"/>
      <c r="EN10">
        <v>1</v>
      </c>
      <c r="EO10"/>
      <c r="EP10"/>
      <c r="EQ10"/>
      <c r="ER10">
        <v>0</v>
      </c>
      <c r="ES10" t="s">
        <v>167</v>
      </c>
      <c r="ET10" t="s">
        <v>167</v>
      </c>
      <c r="EU10" t="s">
        <v>160</v>
      </c>
      <c r="EV10" t="s">
        <v>167</v>
      </c>
      <c r="EW10" t="s">
        <v>160</v>
      </c>
      <c r="EX10" t="s">
        <v>160</v>
      </c>
      <c r="EY10">
        <v>4</v>
      </c>
      <c r="EZ10" t="s">
        <v>338</v>
      </c>
      <c r="FA10">
        <v>3.6</v>
      </c>
      <c r="FB10">
        <v>127</v>
      </c>
      <c r="FC10">
        <v>276</v>
      </c>
      <c r="FD10" t="s">
        <v>167</v>
      </c>
      <c r="FE10">
        <v>2.39</v>
      </c>
      <c r="FF10" t="s">
        <v>160</v>
      </c>
      <c r="FG10">
        <v>0.86</v>
      </c>
      <c r="FH10">
        <v>0.32</v>
      </c>
      <c r="FI10">
        <v>0.01</v>
      </c>
      <c r="FJ10">
        <v>0.03</v>
      </c>
      <c r="FK10">
        <v>5.2</v>
      </c>
      <c r="FL10">
        <v>60</v>
      </c>
      <c r="FM10">
        <v>90</v>
      </c>
      <c r="FN10">
        <v>10</v>
      </c>
      <c r="FO10">
        <v>2</v>
      </c>
      <c r="FP10" t="s">
        <v>167</v>
      </c>
      <c r="FQ10">
        <v>18.399999999999999</v>
      </c>
      <c r="FR10">
        <v>3.48</v>
      </c>
      <c r="FS10">
        <v>2.37</v>
      </c>
      <c r="FT10">
        <v>10.7</v>
      </c>
      <c r="FU10">
        <v>4.2</v>
      </c>
      <c r="FV10">
        <v>0.31</v>
      </c>
      <c r="FW10">
        <v>1.61</v>
      </c>
      <c r="GE10">
        <v>5</v>
      </c>
      <c r="GF10" t="s">
        <v>175</v>
      </c>
      <c r="GG10">
        <v>1.1399999999999999</v>
      </c>
      <c r="GH10">
        <v>0.15</v>
      </c>
      <c r="GR10">
        <v>0</v>
      </c>
      <c r="GS10">
        <v>0</v>
      </c>
      <c r="GU10">
        <v>19</v>
      </c>
      <c r="GX10" t="s">
        <v>339</v>
      </c>
      <c r="GY10" s="4" t="s">
        <v>348</v>
      </c>
      <c r="GZ10" s="4">
        <v>19.8</v>
      </c>
      <c r="HA10" s="4">
        <v>19.399999999999999</v>
      </c>
      <c r="HB10" s="4">
        <v>0.65</v>
      </c>
      <c r="HC10" s="4">
        <v>42.4</v>
      </c>
      <c r="HD10" s="4">
        <v>37.299999999999997</v>
      </c>
      <c r="HE10" s="4">
        <v>62</v>
      </c>
      <c r="HF10" s="4">
        <v>5.2999999999999999E-2</v>
      </c>
      <c r="HG10" s="4">
        <v>0.16</v>
      </c>
      <c r="HH10" s="4">
        <v>1.23</v>
      </c>
      <c r="HI10" s="4">
        <v>59.4</v>
      </c>
      <c r="HJ10" s="4">
        <v>38.700000000000003</v>
      </c>
      <c r="HK10" s="4">
        <v>6.53</v>
      </c>
      <c r="HL10" s="4">
        <v>52.8</v>
      </c>
      <c r="HM10" s="4">
        <v>24.6</v>
      </c>
      <c r="HN10" s="4">
        <v>11.1</v>
      </c>
      <c r="HO10" s="4">
        <v>32.1</v>
      </c>
      <c r="HP10" s="4">
        <v>57.3</v>
      </c>
      <c r="HQ10" s="4">
        <v>4.2699999999999996</v>
      </c>
      <c r="HR10" s="4">
        <v>23.5</v>
      </c>
      <c r="HS10" s="4">
        <v>15</v>
      </c>
      <c r="HT10" s="4">
        <v>55</v>
      </c>
      <c r="HU10" s="4">
        <v>6.83</v>
      </c>
      <c r="HV10" s="4">
        <v>30</v>
      </c>
      <c r="HW10" s="4">
        <v>9.26</v>
      </c>
      <c r="HX10" s="4">
        <v>35.200000000000003</v>
      </c>
      <c r="HY10" s="4">
        <v>25.5</v>
      </c>
      <c r="HZ10" s="4">
        <v>18.600000000000001</v>
      </c>
      <c r="IA10" s="4">
        <v>7.99</v>
      </c>
      <c r="IB10" s="4">
        <v>5.46</v>
      </c>
      <c r="IC10" s="4">
        <v>14.6</v>
      </c>
      <c r="ID10" s="4">
        <v>65</v>
      </c>
      <c r="IE10" s="4">
        <v>12.6</v>
      </c>
      <c r="IF10" s="4">
        <v>6.22</v>
      </c>
      <c r="IG10" s="4">
        <v>30.5</v>
      </c>
      <c r="IH10" s="4">
        <v>55.5</v>
      </c>
      <c r="II10" s="4">
        <v>5.2</v>
      </c>
      <c r="IJ10" s="4">
        <v>23.3</v>
      </c>
      <c r="IK10" s="4">
        <v>41</v>
      </c>
      <c r="IL10" s="4">
        <v>2.38</v>
      </c>
      <c r="IM10" s="4">
        <v>4</v>
      </c>
      <c r="IN10" s="4">
        <v>2.5</v>
      </c>
      <c r="IO10" s="4">
        <v>4.4000000000000004</v>
      </c>
      <c r="IP10" s="4">
        <v>73.5</v>
      </c>
      <c r="IQ10" s="4">
        <v>20</v>
      </c>
      <c r="IR10" s="4">
        <v>0.28999999999999998</v>
      </c>
      <c r="IS10" s="4">
        <v>81.8</v>
      </c>
      <c r="IT10" s="4">
        <v>13.5</v>
      </c>
      <c r="IU10" s="4">
        <v>25.1</v>
      </c>
      <c r="IV10" s="4">
        <v>4.99</v>
      </c>
      <c r="IW10" s="4">
        <v>66.3</v>
      </c>
      <c r="IX10" s="4">
        <v>2.39</v>
      </c>
      <c r="IY10" s="4">
        <v>8.07</v>
      </c>
      <c r="IZ10" s="4">
        <v>24.9</v>
      </c>
      <c r="JA10" s="4">
        <v>42</v>
      </c>
      <c r="JB10" s="4">
        <v>2.77</v>
      </c>
      <c r="JC10" s="4">
        <v>5.35</v>
      </c>
      <c r="JD10" s="4">
        <v>9.4600000000000009</v>
      </c>
      <c r="JE10" s="4">
        <v>-62.7</v>
      </c>
      <c r="JF10" s="4">
        <v>263</v>
      </c>
      <c r="JG10" s="4">
        <v>202</v>
      </c>
      <c r="JH10" s="4">
        <v>257</v>
      </c>
      <c r="JI10" s="4">
        <v>493</v>
      </c>
      <c r="JJ10" s="4">
        <v>314</v>
      </c>
      <c r="JK10" s="4">
        <v>-0.59</v>
      </c>
    </row>
    <row r="11" spans="1:271" x14ac:dyDescent="0.2">
      <c r="A11">
        <v>84</v>
      </c>
      <c r="B11" t="s">
        <v>159</v>
      </c>
      <c r="C11" t="s">
        <v>349</v>
      </c>
      <c r="D11" s="1">
        <v>21448</v>
      </c>
      <c r="E11" s="24">
        <v>25.912328767123288</v>
      </c>
      <c r="F11" s="3" t="s">
        <v>219</v>
      </c>
      <c r="G11" t="s">
        <v>169</v>
      </c>
      <c r="H11" t="s">
        <v>340</v>
      </c>
      <c r="I11" t="s">
        <v>164</v>
      </c>
      <c r="J11">
        <v>4</v>
      </c>
      <c r="K11">
        <v>0</v>
      </c>
      <c r="L11">
        <v>2</v>
      </c>
      <c r="M11">
        <v>0</v>
      </c>
      <c r="N11">
        <v>10</v>
      </c>
      <c r="O11" t="s">
        <v>165</v>
      </c>
      <c r="P11">
        <v>3</v>
      </c>
      <c r="Q11" t="s">
        <v>165</v>
      </c>
      <c r="R11">
        <v>33</v>
      </c>
      <c r="S11">
        <v>6</v>
      </c>
      <c r="T11" s="3">
        <v>1981</v>
      </c>
      <c r="U11" s="3">
        <f>2022-T11</f>
        <v>41</v>
      </c>
      <c r="AC11" t="s">
        <v>160</v>
      </c>
      <c r="AD11">
        <v>200</v>
      </c>
      <c r="AE11">
        <v>2015</v>
      </c>
      <c r="AF11" s="3">
        <v>0</v>
      </c>
      <c r="AG11" t="s">
        <v>167</v>
      </c>
      <c r="AH11" t="s">
        <v>167</v>
      </c>
      <c r="AI11" t="s">
        <v>341</v>
      </c>
      <c r="AJ11">
        <v>3</v>
      </c>
      <c r="AK11" t="s">
        <v>167</v>
      </c>
      <c r="AY11" t="s">
        <v>160</v>
      </c>
      <c r="AZ11">
        <v>50</v>
      </c>
      <c r="BA11" t="s">
        <v>342</v>
      </c>
      <c r="CP11" t="s">
        <v>167</v>
      </c>
      <c r="CQ11" t="s">
        <v>167</v>
      </c>
      <c r="CS11" t="s">
        <v>160</v>
      </c>
      <c r="CT11">
        <v>2</v>
      </c>
      <c r="CU11" t="s">
        <v>160</v>
      </c>
      <c r="CV11" t="s">
        <v>50</v>
      </c>
      <c r="CW11" t="s">
        <v>343</v>
      </c>
      <c r="CX11" t="s">
        <v>167</v>
      </c>
      <c r="CZ11" t="s">
        <v>160</v>
      </c>
      <c r="DA11" t="s">
        <v>162</v>
      </c>
      <c r="DB11" t="s">
        <v>162</v>
      </c>
      <c r="DC11" t="s">
        <v>162</v>
      </c>
      <c r="DD11" t="s">
        <v>344</v>
      </c>
      <c r="DE11" t="s">
        <v>167</v>
      </c>
      <c r="DH11">
        <v>0</v>
      </c>
      <c r="DI11" t="s">
        <v>167</v>
      </c>
      <c r="DJ11" t="s">
        <v>167</v>
      </c>
      <c r="DL11" t="s">
        <v>167</v>
      </c>
      <c r="DO11" t="s">
        <v>174</v>
      </c>
      <c r="DP11">
        <v>20</v>
      </c>
      <c r="DQ11" t="s">
        <v>345</v>
      </c>
      <c r="DR11">
        <v>3</v>
      </c>
      <c r="DS11">
        <v>2</v>
      </c>
      <c r="DT11">
        <v>2</v>
      </c>
      <c r="DU11" t="s">
        <v>113</v>
      </c>
      <c r="DV11"/>
      <c r="DW11">
        <v>1</v>
      </c>
      <c r="DX11"/>
      <c r="DY11"/>
      <c r="DZ11"/>
      <c r="EA11"/>
      <c r="EB11">
        <v>2</v>
      </c>
      <c r="EC11" t="s">
        <v>167</v>
      </c>
      <c r="ED11" t="s">
        <v>160</v>
      </c>
      <c r="EE11" t="s">
        <v>167</v>
      </c>
      <c r="EF11" t="s">
        <v>167</v>
      </c>
      <c r="EG11" s="3" t="s">
        <v>167</v>
      </c>
      <c r="EH11"/>
      <c r="EI11"/>
      <c r="EJ11"/>
      <c r="EK11"/>
      <c r="EL11"/>
      <c r="EM11"/>
      <c r="EN11">
        <v>3</v>
      </c>
      <c r="EO11"/>
      <c r="EP11"/>
      <c r="EQ11"/>
      <c r="ER11">
        <v>0</v>
      </c>
      <c r="ES11" t="s">
        <v>167</v>
      </c>
      <c r="ET11" t="s">
        <v>160</v>
      </c>
      <c r="EU11" t="s">
        <v>160</v>
      </c>
      <c r="EV11" t="s">
        <v>167</v>
      </c>
      <c r="EW11" t="s">
        <v>160</v>
      </c>
      <c r="EX11" t="s">
        <v>160</v>
      </c>
      <c r="EY11">
        <v>4</v>
      </c>
      <c r="EZ11" t="s">
        <v>205</v>
      </c>
      <c r="FA11">
        <v>5.4</v>
      </c>
      <c r="FB11">
        <v>137</v>
      </c>
      <c r="FC11">
        <v>260</v>
      </c>
      <c r="FD11" t="s">
        <v>167</v>
      </c>
      <c r="FE11">
        <v>3.5</v>
      </c>
      <c r="FF11" t="s">
        <v>167</v>
      </c>
      <c r="FG11">
        <v>1.1000000000000001</v>
      </c>
      <c r="FH11">
        <v>0.6</v>
      </c>
      <c r="FI11">
        <v>0.3</v>
      </c>
      <c r="FJ11">
        <v>0.1</v>
      </c>
      <c r="FK11">
        <v>5.6</v>
      </c>
      <c r="FL11">
        <v>79</v>
      </c>
      <c r="FM11">
        <v>68</v>
      </c>
      <c r="FN11">
        <v>19</v>
      </c>
      <c r="FO11">
        <v>1.2</v>
      </c>
      <c r="FP11" t="s">
        <v>167</v>
      </c>
      <c r="FQ11">
        <v>8.0399999999999991</v>
      </c>
      <c r="FR11">
        <v>1.94</v>
      </c>
      <c r="FS11">
        <v>1.74</v>
      </c>
      <c r="GE11">
        <v>5</v>
      </c>
      <c r="GF11" t="s">
        <v>173</v>
      </c>
      <c r="GG11">
        <v>1.3</v>
      </c>
      <c r="GH11">
        <v>0.11</v>
      </c>
      <c r="GI11">
        <v>0</v>
      </c>
      <c r="GJ11">
        <v>0.9</v>
      </c>
      <c r="GK11">
        <v>0</v>
      </c>
      <c r="GM11">
        <v>0</v>
      </c>
      <c r="GN11">
        <v>0</v>
      </c>
      <c r="GR11">
        <v>0</v>
      </c>
      <c r="GS11">
        <v>0</v>
      </c>
      <c r="GU11">
        <v>7.4</v>
      </c>
      <c r="GV11">
        <v>0.6</v>
      </c>
      <c r="GY11" s="4" t="s">
        <v>349</v>
      </c>
      <c r="GZ11" s="4">
        <v>18</v>
      </c>
      <c r="HA11" s="4">
        <v>10.3</v>
      </c>
      <c r="HB11" s="4">
        <v>0.25</v>
      </c>
      <c r="HC11" s="4">
        <v>26.3</v>
      </c>
      <c r="HD11" s="4">
        <v>63.1</v>
      </c>
      <c r="HE11" s="4">
        <v>47.7</v>
      </c>
      <c r="HF11" s="4">
        <v>3.9E-2</v>
      </c>
      <c r="HG11" s="4">
        <v>0.39</v>
      </c>
      <c r="HH11" s="4">
        <v>1.23</v>
      </c>
      <c r="HI11" s="4">
        <v>46.1</v>
      </c>
      <c r="HJ11" s="4">
        <v>32.700000000000003</v>
      </c>
      <c r="HK11" s="4">
        <v>7.63</v>
      </c>
      <c r="HL11" s="4">
        <v>19.3</v>
      </c>
      <c r="HM11" s="4">
        <v>39.4</v>
      </c>
      <c r="HN11" s="4">
        <v>27.2</v>
      </c>
      <c r="HO11" s="4">
        <v>55.5</v>
      </c>
      <c r="HP11" s="4">
        <v>40.1</v>
      </c>
      <c r="HQ11" s="4">
        <v>8.6199999999999992</v>
      </c>
      <c r="HR11" s="4">
        <v>41.5</v>
      </c>
      <c r="HS11" s="4">
        <v>9.8000000000000007</v>
      </c>
      <c r="HT11" s="4">
        <v>20.8</v>
      </c>
      <c r="HU11" s="4">
        <v>15.1</v>
      </c>
      <c r="HV11" s="4">
        <v>41.5</v>
      </c>
      <c r="HW11" s="4">
        <v>5.92</v>
      </c>
      <c r="HX11" s="4">
        <v>39.5</v>
      </c>
      <c r="HY11" s="4">
        <v>13.1</v>
      </c>
      <c r="HZ11" s="4">
        <v>10.4</v>
      </c>
      <c r="IA11" s="4">
        <v>34.6</v>
      </c>
      <c r="IB11" s="4">
        <v>34.9</v>
      </c>
      <c r="IC11" s="4">
        <v>14.1</v>
      </c>
      <c r="ID11" s="4">
        <v>9.07</v>
      </c>
      <c r="IE11" s="4">
        <v>25.8</v>
      </c>
      <c r="IF11" s="4">
        <v>2.96</v>
      </c>
      <c r="IG11" s="4">
        <v>11.4</v>
      </c>
      <c r="IH11" s="4">
        <v>69.5</v>
      </c>
      <c r="II11" s="4">
        <v>12</v>
      </c>
      <c r="IJ11" s="4">
        <v>17</v>
      </c>
      <c r="IK11" s="4">
        <v>13.4</v>
      </c>
      <c r="IL11" s="4">
        <v>0.38</v>
      </c>
      <c r="IM11" s="4">
        <v>0.89</v>
      </c>
      <c r="IN11" s="4">
        <v>1.39</v>
      </c>
      <c r="IO11" s="4">
        <v>1.92</v>
      </c>
      <c r="IP11" s="4">
        <v>59.4</v>
      </c>
      <c r="IQ11" s="4">
        <v>39.200000000000003</v>
      </c>
      <c r="IR11" s="4">
        <v>1.27</v>
      </c>
      <c r="IS11" s="4">
        <v>73.099999999999994</v>
      </c>
      <c r="IT11" s="4">
        <v>24.4</v>
      </c>
      <c r="IU11" s="4">
        <v>54.2</v>
      </c>
      <c r="IV11" s="4">
        <v>6.93</v>
      </c>
      <c r="IW11" s="4">
        <v>33</v>
      </c>
      <c r="IX11" s="4">
        <v>1.34</v>
      </c>
      <c r="IY11" s="4">
        <v>5.18</v>
      </c>
      <c r="IZ11" s="4">
        <v>14.9</v>
      </c>
      <c r="JA11" s="4">
        <v>19.600000000000001</v>
      </c>
      <c r="JB11" s="4">
        <v>1.46</v>
      </c>
      <c r="JC11" s="4">
        <v>2.29</v>
      </c>
      <c r="JD11" s="4">
        <v>12.3</v>
      </c>
      <c r="JE11" s="4">
        <v>-54.6</v>
      </c>
      <c r="JF11" s="4">
        <v>135</v>
      </c>
      <c r="JG11" s="4">
        <v>207</v>
      </c>
      <c r="JH11" s="4">
        <v>38.6</v>
      </c>
      <c r="JI11" s="4">
        <v>126</v>
      </c>
      <c r="JJ11" s="4">
        <v>163</v>
      </c>
      <c r="JK11" s="4">
        <v>-14.3</v>
      </c>
    </row>
    <row r="12" spans="1:271" s="21" customFormat="1" ht="17" customHeight="1" x14ac:dyDescent="0.2">
      <c r="A12" s="21" t="s">
        <v>356</v>
      </c>
      <c r="E12" s="22"/>
      <c r="T12" s="22"/>
      <c r="AF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</row>
    <row r="13" spans="1:271" ht="17" customHeight="1" x14ac:dyDescent="0.2">
      <c r="B13" t="s">
        <v>376</v>
      </c>
      <c r="E13">
        <v>34</v>
      </c>
      <c r="G13" t="s">
        <v>163</v>
      </c>
      <c r="J13" s="3"/>
      <c r="K13" s="3"/>
      <c r="U13" s="26"/>
      <c r="DT13" s="26"/>
      <c r="DU13" s="26"/>
      <c r="GX13">
        <v>34</v>
      </c>
      <c r="GY13" t="s">
        <v>376</v>
      </c>
      <c r="GZ13">
        <v>15</v>
      </c>
      <c r="HA13">
        <v>2.36</v>
      </c>
      <c r="HB13">
        <v>2.5999999999999999E-2</v>
      </c>
      <c r="HC13">
        <v>50.1</v>
      </c>
      <c r="HD13">
        <v>47.6</v>
      </c>
      <c r="HE13">
        <v>67.400000000000006</v>
      </c>
      <c r="HF13">
        <v>1.6E-2</v>
      </c>
      <c r="HG13">
        <v>5.34</v>
      </c>
      <c r="HH13">
        <v>2.0499999999999998</v>
      </c>
      <c r="HI13">
        <v>61.7</v>
      </c>
      <c r="HJ13">
        <v>43.7</v>
      </c>
      <c r="HK13">
        <v>8.48</v>
      </c>
      <c r="HL13">
        <v>59.8</v>
      </c>
      <c r="HM13">
        <v>6.48</v>
      </c>
      <c r="HN13">
        <v>3.93</v>
      </c>
      <c r="HO13">
        <v>7.37</v>
      </c>
      <c r="HP13">
        <v>34.299999999999997</v>
      </c>
      <c r="HQ13">
        <v>21.5</v>
      </c>
      <c r="HR13">
        <v>26.9</v>
      </c>
      <c r="HS13">
        <v>17.399999999999999</v>
      </c>
      <c r="HT13">
        <v>74.900000000000006</v>
      </c>
      <c r="HU13">
        <v>1.67</v>
      </c>
      <c r="HV13">
        <v>17.899999999999999</v>
      </c>
      <c r="HW13">
        <v>15.8</v>
      </c>
      <c r="HX13">
        <v>46.2</v>
      </c>
      <c r="HY13">
        <v>20.2</v>
      </c>
      <c r="HZ13">
        <v>16.600000000000001</v>
      </c>
      <c r="IA13">
        <v>1.78</v>
      </c>
      <c r="IB13">
        <v>4.16</v>
      </c>
      <c r="IC13">
        <v>29.7</v>
      </c>
      <c r="ID13">
        <v>64.3</v>
      </c>
      <c r="IE13">
        <v>14.5</v>
      </c>
      <c r="IF13">
        <v>3.43</v>
      </c>
      <c r="IG13">
        <v>16.8</v>
      </c>
      <c r="IH13">
        <v>68.5</v>
      </c>
      <c r="II13">
        <v>8.11</v>
      </c>
      <c r="IJ13">
        <v>10.9</v>
      </c>
      <c r="IK13">
        <v>12.6</v>
      </c>
      <c r="IL13">
        <v>0.52</v>
      </c>
      <c r="IM13">
        <v>0.57999999999999996</v>
      </c>
      <c r="IN13">
        <v>2.4500000000000002</v>
      </c>
      <c r="IO13">
        <v>0.35</v>
      </c>
      <c r="IP13">
        <v>79</v>
      </c>
      <c r="IQ13">
        <v>20.100000000000001</v>
      </c>
      <c r="IR13">
        <v>0.84</v>
      </c>
      <c r="IS13">
        <v>90.5</v>
      </c>
      <c r="IT13">
        <v>7.68</v>
      </c>
      <c r="IU13">
        <v>64.900000000000006</v>
      </c>
      <c r="IV13">
        <v>4.9800000000000004</v>
      </c>
      <c r="IW13">
        <v>23.9</v>
      </c>
      <c r="IX13">
        <v>0.6</v>
      </c>
      <c r="IY13">
        <v>6.43</v>
      </c>
      <c r="IZ13">
        <v>26.4</v>
      </c>
      <c r="JA13">
        <v>23.2</v>
      </c>
      <c r="JB13">
        <v>2.11</v>
      </c>
      <c r="JC13">
        <v>3.27</v>
      </c>
      <c r="JD13">
        <v>5.12</v>
      </c>
      <c r="JE13">
        <v>97.8</v>
      </c>
      <c r="JF13">
        <v>748</v>
      </c>
      <c r="JG13">
        <v>1094</v>
      </c>
      <c r="JH13">
        <v>755</v>
      </c>
      <c r="JI13">
        <v>1103</v>
      </c>
      <c r="JJ13">
        <v>438</v>
      </c>
      <c r="JK13">
        <v>9.82</v>
      </c>
    </row>
    <row r="14" spans="1:271" x14ac:dyDescent="0.2">
      <c r="B14" t="s">
        <v>366</v>
      </c>
      <c r="E14">
        <v>39</v>
      </c>
      <c r="G14" t="s">
        <v>163</v>
      </c>
      <c r="J14" s="3"/>
      <c r="K14" s="3"/>
      <c r="DT14" s="26"/>
      <c r="DU14" s="26"/>
      <c r="GX14">
        <v>39</v>
      </c>
      <c r="GY14" t="s">
        <v>366</v>
      </c>
      <c r="GZ14">
        <v>9.07</v>
      </c>
      <c r="HA14">
        <v>3.6</v>
      </c>
      <c r="HB14">
        <v>0.28000000000000003</v>
      </c>
      <c r="HC14">
        <v>36.6</v>
      </c>
      <c r="HD14">
        <v>59.5</v>
      </c>
      <c r="HE14">
        <v>72.900000000000006</v>
      </c>
      <c r="HF14">
        <v>1.9E-2</v>
      </c>
      <c r="HG14">
        <v>1.1299999999999999</v>
      </c>
      <c r="HH14">
        <v>2.58</v>
      </c>
      <c r="HI14">
        <v>69.5</v>
      </c>
      <c r="HJ14">
        <v>48.8</v>
      </c>
      <c r="HK14">
        <v>4.8600000000000003</v>
      </c>
      <c r="HL14">
        <v>62.4</v>
      </c>
      <c r="HM14">
        <v>23.7</v>
      </c>
      <c r="HN14">
        <v>8.3800000000000008</v>
      </c>
      <c r="HO14">
        <v>27.3</v>
      </c>
      <c r="HP14">
        <v>41.9</v>
      </c>
      <c r="HQ14">
        <v>12.8</v>
      </c>
      <c r="HR14">
        <v>37.9</v>
      </c>
      <c r="HS14">
        <v>7.32</v>
      </c>
      <c r="HT14">
        <v>60.1</v>
      </c>
      <c r="HU14">
        <v>4.08</v>
      </c>
      <c r="HV14">
        <v>57.5</v>
      </c>
      <c r="HW14">
        <v>2.54</v>
      </c>
      <c r="HX14">
        <v>28.4</v>
      </c>
      <c r="HY14">
        <v>11.6</v>
      </c>
      <c r="HZ14">
        <v>17.7</v>
      </c>
      <c r="IA14">
        <v>10.1</v>
      </c>
      <c r="IB14">
        <v>19.3</v>
      </c>
      <c r="IC14">
        <v>16.399999999999999</v>
      </c>
      <c r="ID14">
        <v>54.2</v>
      </c>
      <c r="IE14">
        <v>13.6</v>
      </c>
      <c r="IF14">
        <v>4.0999999999999996</v>
      </c>
      <c r="IG14">
        <v>24.6</v>
      </c>
      <c r="IH14">
        <v>42.5</v>
      </c>
      <c r="II14">
        <v>14.1</v>
      </c>
      <c r="IJ14">
        <v>10.4</v>
      </c>
      <c r="IK14">
        <v>10.5</v>
      </c>
      <c r="IL14">
        <v>0.88</v>
      </c>
      <c r="IM14">
        <v>0.52</v>
      </c>
      <c r="IN14">
        <v>7.86</v>
      </c>
      <c r="IO14">
        <v>1.91</v>
      </c>
      <c r="IP14">
        <v>92.5</v>
      </c>
      <c r="IQ14">
        <v>6.17</v>
      </c>
      <c r="IR14">
        <v>1.25</v>
      </c>
      <c r="IS14">
        <v>81.7</v>
      </c>
      <c r="IT14">
        <v>8.9</v>
      </c>
      <c r="IU14">
        <v>65.599999999999994</v>
      </c>
      <c r="IV14">
        <v>8.31</v>
      </c>
      <c r="IW14">
        <v>21.8</v>
      </c>
      <c r="IX14">
        <v>1.35</v>
      </c>
      <c r="IY14">
        <v>17.600000000000001</v>
      </c>
      <c r="IZ14">
        <v>68.8</v>
      </c>
      <c r="JA14">
        <v>77.900000000000006</v>
      </c>
      <c r="JB14">
        <v>0.43</v>
      </c>
      <c r="JC14">
        <v>3.77</v>
      </c>
      <c r="JD14">
        <v>36.9</v>
      </c>
      <c r="JE14">
        <v>53.3</v>
      </c>
      <c r="JF14">
        <v>384</v>
      </c>
      <c r="JG14">
        <v>367</v>
      </c>
      <c r="JH14">
        <v>670</v>
      </c>
      <c r="JI14">
        <v>947</v>
      </c>
      <c r="JJ14">
        <v>340</v>
      </c>
      <c r="JK14">
        <v>23.3</v>
      </c>
    </row>
    <row r="15" spans="1:271" x14ac:dyDescent="0.2">
      <c r="B15" t="s">
        <v>382</v>
      </c>
      <c r="E15">
        <v>36</v>
      </c>
      <c r="G15" s="4" t="s">
        <v>169</v>
      </c>
      <c r="J15" s="3"/>
      <c r="K15" s="3"/>
      <c r="DT15" s="26"/>
      <c r="DU15" s="26"/>
      <c r="GX15" s="17">
        <v>36</v>
      </c>
      <c r="GY15" t="s">
        <v>382</v>
      </c>
      <c r="GZ15">
        <v>12.6</v>
      </c>
      <c r="HA15">
        <v>4.76</v>
      </c>
      <c r="HB15">
        <v>0.21</v>
      </c>
      <c r="HC15">
        <v>40.6</v>
      </c>
      <c r="HD15">
        <v>54.5</v>
      </c>
      <c r="HE15">
        <v>71.900000000000006</v>
      </c>
      <c r="HF15">
        <v>0.12</v>
      </c>
      <c r="HG15">
        <v>4.2</v>
      </c>
      <c r="HH15">
        <v>2.08</v>
      </c>
      <c r="HI15">
        <v>66.599999999999994</v>
      </c>
      <c r="HJ15">
        <v>55.4</v>
      </c>
      <c r="HK15">
        <v>5.68</v>
      </c>
      <c r="HL15">
        <v>45.9</v>
      </c>
      <c r="HM15">
        <v>33.700000000000003</v>
      </c>
      <c r="HN15">
        <v>13</v>
      </c>
      <c r="HO15">
        <v>38.1</v>
      </c>
      <c r="HP15">
        <v>24.5</v>
      </c>
      <c r="HQ15">
        <v>24.6</v>
      </c>
      <c r="HR15">
        <v>38.6</v>
      </c>
      <c r="HS15">
        <v>12.2</v>
      </c>
      <c r="HT15">
        <v>47</v>
      </c>
      <c r="HU15">
        <v>9.09</v>
      </c>
      <c r="HV15">
        <v>31.7</v>
      </c>
      <c r="HW15">
        <v>13</v>
      </c>
      <c r="HX15">
        <v>34.5</v>
      </c>
      <c r="HY15">
        <v>20.8</v>
      </c>
      <c r="HZ15">
        <v>10.199999999999999</v>
      </c>
      <c r="IA15">
        <v>8.5500000000000007</v>
      </c>
      <c r="IB15">
        <v>12.8</v>
      </c>
      <c r="IC15">
        <v>9.81</v>
      </c>
      <c r="ID15">
        <v>68.8</v>
      </c>
      <c r="IE15">
        <v>14.7</v>
      </c>
      <c r="IF15">
        <v>3.1</v>
      </c>
      <c r="IG15">
        <v>33.9</v>
      </c>
      <c r="IH15">
        <v>49.6</v>
      </c>
      <c r="II15">
        <v>4.9000000000000004</v>
      </c>
      <c r="IJ15">
        <v>25.8</v>
      </c>
      <c r="IK15">
        <v>15.4</v>
      </c>
      <c r="IL15">
        <v>1</v>
      </c>
      <c r="IM15">
        <v>1.65</v>
      </c>
      <c r="IN15">
        <v>3.14</v>
      </c>
      <c r="IO15">
        <v>16.399999999999999</v>
      </c>
      <c r="IP15">
        <v>91.3</v>
      </c>
      <c r="IQ15">
        <v>6.45</v>
      </c>
      <c r="IR15">
        <v>1.91</v>
      </c>
      <c r="IS15">
        <v>79.099999999999994</v>
      </c>
      <c r="IT15">
        <v>2.81</v>
      </c>
      <c r="IU15">
        <v>51.2</v>
      </c>
      <c r="IV15">
        <v>4.92</v>
      </c>
      <c r="IW15">
        <v>41.1</v>
      </c>
      <c r="IX15">
        <v>0.38</v>
      </c>
      <c r="IY15">
        <v>11.8</v>
      </c>
      <c r="IZ15">
        <v>44.6</v>
      </c>
      <c r="JA15">
        <v>69</v>
      </c>
      <c r="JB15">
        <v>0.44</v>
      </c>
      <c r="JC15">
        <v>2.29</v>
      </c>
      <c r="JD15">
        <v>3.92</v>
      </c>
      <c r="JE15">
        <v>17.600000000000001</v>
      </c>
      <c r="JF15">
        <v>364</v>
      </c>
      <c r="JG15">
        <v>357</v>
      </c>
      <c r="JH15">
        <v>448</v>
      </c>
      <c r="JI15">
        <v>1066</v>
      </c>
      <c r="JJ15">
        <v>514</v>
      </c>
      <c r="JK15">
        <v>-23.2</v>
      </c>
    </row>
    <row r="16" spans="1:271" x14ac:dyDescent="0.2">
      <c r="B16" t="s">
        <v>381</v>
      </c>
      <c r="E16">
        <v>49</v>
      </c>
      <c r="G16" s="4" t="s">
        <v>169</v>
      </c>
      <c r="J16" s="3"/>
      <c r="K16" s="3"/>
      <c r="U16" s="26"/>
      <c r="DT16" s="26"/>
      <c r="DU16" s="26"/>
      <c r="GX16">
        <v>49</v>
      </c>
      <c r="GY16" t="s">
        <v>381</v>
      </c>
      <c r="GZ16">
        <v>25.4</v>
      </c>
      <c r="HA16">
        <v>5.48</v>
      </c>
      <c r="HB16">
        <v>0.67</v>
      </c>
      <c r="HC16">
        <v>50.5</v>
      </c>
      <c r="HD16">
        <v>43.4</v>
      </c>
      <c r="HE16">
        <v>63.9</v>
      </c>
      <c r="HF16">
        <v>0.25</v>
      </c>
      <c r="HG16">
        <v>4.25</v>
      </c>
      <c r="HH16">
        <v>8.58</v>
      </c>
      <c r="HI16">
        <v>52.2</v>
      </c>
      <c r="HJ16">
        <v>39.5</v>
      </c>
      <c r="HK16">
        <v>6.81</v>
      </c>
      <c r="HL16">
        <v>19.8</v>
      </c>
      <c r="HM16">
        <v>44.2</v>
      </c>
      <c r="HN16">
        <v>28.2</v>
      </c>
      <c r="HO16">
        <v>58.7</v>
      </c>
      <c r="HP16">
        <v>38.299999999999997</v>
      </c>
      <c r="HQ16">
        <v>19.7</v>
      </c>
      <c r="HR16">
        <v>29.4</v>
      </c>
      <c r="HS16">
        <v>12.6</v>
      </c>
      <c r="HT16">
        <v>20.100000000000001</v>
      </c>
      <c r="HU16">
        <v>14</v>
      </c>
      <c r="HV16">
        <v>36</v>
      </c>
      <c r="HW16">
        <v>6.2</v>
      </c>
      <c r="HX16">
        <v>45.3</v>
      </c>
      <c r="HY16">
        <v>12.6</v>
      </c>
      <c r="HZ16">
        <v>11.9</v>
      </c>
      <c r="IA16">
        <v>19</v>
      </c>
      <c r="IB16">
        <v>22</v>
      </c>
      <c r="IC16">
        <v>34.5</v>
      </c>
      <c r="ID16">
        <v>24.4</v>
      </c>
      <c r="IE16">
        <v>12.9</v>
      </c>
      <c r="IF16">
        <v>5.5</v>
      </c>
      <c r="IG16">
        <v>49.3</v>
      </c>
      <c r="IH16">
        <v>37.299999999999997</v>
      </c>
      <c r="II16">
        <v>3.2</v>
      </c>
      <c r="IJ16">
        <v>14</v>
      </c>
      <c r="IK16">
        <v>15.5</v>
      </c>
      <c r="IL16">
        <v>0.94</v>
      </c>
      <c r="IM16">
        <v>2.11</v>
      </c>
      <c r="IN16">
        <v>2.4700000000000002</v>
      </c>
      <c r="IO16">
        <v>10.7</v>
      </c>
      <c r="IP16">
        <v>88.7</v>
      </c>
      <c r="IQ16">
        <v>8.42</v>
      </c>
      <c r="IR16">
        <v>2.4700000000000002</v>
      </c>
      <c r="IS16">
        <v>83.7</v>
      </c>
      <c r="IT16">
        <v>4.1900000000000004</v>
      </c>
      <c r="IU16">
        <v>60.8</v>
      </c>
      <c r="IV16">
        <v>6.37</v>
      </c>
      <c r="IW16">
        <v>30.1</v>
      </c>
      <c r="IX16">
        <v>2.2599999999999998</v>
      </c>
      <c r="IY16">
        <v>8.83</v>
      </c>
      <c r="IZ16">
        <v>27.2</v>
      </c>
      <c r="JA16">
        <v>58.6</v>
      </c>
      <c r="JB16">
        <v>0.49</v>
      </c>
      <c r="JC16">
        <v>1.21</v>
      </c>
      <c r="JD16">
        <v>3.1</v>
      </c>
      <c r="JE16">
        <v>61.6</v>
      </c>
      <c r="JF16">
        <v>581</v>
      </c>
      <c r="JG16">
        <v>624</v>
      </c>
      <c r="JH16">
        <v>689</v>
      </c>
      <c r="JI16">
        <v>872</v>
      </c>
      <c r="JJ16">
        <v>555</v>
      </c>
      <c r="JK16">
        <v>220</v>
      </c>
    </row>
    <row r="17" spans="2:271" x14ac:dyDescent="0.2">
      <c r="B17" t="s">
        <v>380</v>
      </c>
      <c r="E17">
        <v>28</v>
      </c>
      <c r="G17" t="s">
        <v>169</v>
      </c>
      <c r="J17" s="3"/>
      <c r="K17" s="3"/>
      <c r="GX17">
        <v>28</v>
      </c>
      <c r="GY17" t="s">
        <v>380</v>
      </c>
      <c r="GZ17">
        <v>9.6300000000000008</v>
      </c>
      <c r="HA17">
        <v>6.33</v>
      </c>
      <c r="HB17">
        <v>0.6</v>
      </c>
      <c r="HC17">
        <v>48.6</v>
      </c>
      <c r="HD17">
        <v>44.5</v>
      </c>
      <c r="HE17">
        <v>81.599999999999994</v>
      </c>
      <c r="HF17">
        <v>1.6E-2</v>
      </c>
      <c r="HG17">
        <v>1.65</v>
      </c>
      <c r="HH17">
        <v>2.02</v>
      </c>
      <c r="HI17">
        <v>78.2</v>
      </c>
      <c r="HJ17">
        <v>43.4</v>
      </c>
      <c r="HK17">
        <v>7.5</v>
      </c>
      <c r="HL17">
        <v>46.2</v>
      </c>
      <c r="HM17">
        <v>32.799999999999997</v>
      </c>
      <c r="HN17">
        <v>10.9</v>
      </c>
      <c r="HO17">
        <v>30.5</v>
      </c>
      <c r="HP17">
        <v>18.7</v>
      </c>
      <c r="HQ17">
        <v>28.8</v>
      </c>
      <c r="HR17">
        <v>41.7</v>
      </c>
      <c r="HS17">
        <v>10.8</v>
      </c>
      <c r="HT17">
        <v>48</v>
      </c>
      <c r="HU17">
        <v>13.6</v>
      </c>
      <c r="HV17">
        <v>22.8</v>
      </c>
      <c r="HW17">
        <v>13.6</v>
      </c>
      <c r="HX17">
        <v>48.2</v>
      </c>
      <c r="HY17">
        <v>15.5</v>
      </c>
      <c r="HZ17">
        <v>31.3</v>
      </c>
      <c r="IA17">
        <v>1.61</v>
      </c>
      <c r="IB17">
        <v>1.74</v>
      </c>
      <c r="IC17">
        <v>35.1</v>
      </c>
      <c r="ID17">
        <v>61.5</v>
      </c>
      <c r="IE17">
        <v>7.98</v>
      </c>
      <c r="IF17">
        <v>7.59</v>
      </c>
      <c r="IG17">
        <v>37.200000000000003</v>
      </c>
      <c r="IH17">
        <v>44.7</v>
      </c>
      <c r="II17">
        <v>4.38</v>
      </c>
      <c r="IJ17">
        <v>10.7</v>
      </c>
      <c r="IK17">
        <v>12.2</v>
      </c>
      <c r="IL17">
        <v>0.5</v>
      </c>
      <c r="IM17">
        <v>0.75</v>
      </c>
      <c r="IN17">
        <v>2.21</v>
      </c>
      <c r="IO17">
        <v>5.26</v>
      </c>
      <c r="IP17">
        <v>90.1</v>
      </c>
      <c r="IQ17">
        <v>8.99</v>
      </c>
      <c r="IR17">
        <v>0.75</v>
      </c>
      <c r="IS17">
        <v>81.8</v>
      </c>
      <c r="IT17">
        <v>11.4</v>
      </c>
      <c r="IU17">
        <v>53.6</v>
      </c>
      <c r="IV17">
        <v>13.6</v>
      </c>
      <c r="IW17">
        <v>25.3</v>
      </c>
      <c r="IX17">
        <v>0.64</v>
      </c>
      <c r="IY17">
        <v>7.11</v>
      </c>
      <c r="IZ17">
        <v>29.5</v>
      </c>
      <c r="JA17">
        <v>68</v>
      </c>
      <c r="JB17">
        <v>0.5</v>
      </c>
      <c r="JC17">
        <v>2.04</v>
      </c>
      <c r="JD17">
        <v>2.34</v>
      </c>
      <c r="JE17">
        <v>33.200000000000003</v>
      </c>
      <c r="JF17">
        <v>381</v>
      </c>
      <c r="JG17">
        <v>410</v>
      </c>
      <c r="JH17">
        <v>509</v>
      </c>
      <c r="JI17">
        <v>993</v>
      </c>
      <c r="JJ17">
        <v>146</v>
      </c>
      <c r="JK17">
        <v>4.7300000000000004</v>
      </c>
    </row>
    <row r="18" spans="2:271" x14ac:dyDescent="0.2">
      <c r="B18" t="s">
        <v>365</v>
      </c>
      <c r="E18">
        <v>30</v>
      </c>
      <c r="G18" t="s">
        <v>163</v>
      </c>
      <c r="J18" s="3"/>
      <c r="K18" s="3"/>
      <c r="U18" s="26"/>
      <c r="DT18" s="26"/>
      <c r="DU18" s="26"/>
      <c r="GX18" s="17">
        <v>30</v>
      </c>
      <c r="GY18" t="s">
        <v>365</v>
      </c>
      <c r="GZ18">
        <v>19.7</v>
      </c>
      <c r="HA18">
        <v>2.5299999999999998</v>
      </c>
      <c r="HB18">
        <v>5.8999999999999997E-2</v>
      </c>
      <c r="HC18">
        <v>24.5</v>
      </c>
      <c r="HD18">
        <v>72.900000000000006</v>
      </c>
      <c r="HE18">
        <v>64.5</v>
      </c>
      <c r="HF18" s="6">
        <v>9.4900000000000002E-3</v>
      </c>
      <c r="HG18">
        <v>9.9600000000000009</v>
      </c>
      <c r="HH18">
        <v>3.95</v>
      </c>
      <c r="HI18">
        <v>54.1</v>
      </c>
      <c r="HJ18">
        <v>28.9</v>
      </c>
      <c r="HK18">
        <v>7.33</v>
      </c>
      <c r="HL18">
        <v>55.5</v>
      </c>
      <c r="HM18">
        <v>22.8</v>
      </c>
      <c r="HN18">
        <v>13.6</v>
      </c>
      <c r="HO18">
        <v>29.7</v>
      </c>
      <c r="HP18">
        <v>63.7</v>
      </c>
      <c r="HQ18">
        <v>3.85</v>
      </c>
      <c r="HR18">
        <v>25.9</v>
      </c>
      <c r="HS18">
        <v>6.57</v>
      </c>
      <c r="HT18">
        <v>54.5</v>
      </c>
      <c r="HU18">
        <v>6.25</v>
      </c>
      <c r="HV18">
        <v>73</v>
      </c>
      <c r="HW18">
        <v>0.65</v>
      </c>
      <c r="HX18">
        <v>21.5</v>
      </c>
      <c r="HY18">
        <v>4.8899999999999997</v>
      </c>
      <c r="HZ18">
        <v>24.4</v>
      </c>
      <c r="IA18">
        <v>2.2000000000000002</v>
      </c>
      <c r="IB18">
        <v>5.9</v>
      </c>
      <c r="IC18">
        <v>12.6</v>
      </c>
      <c r="ID18">
        <v>79.3</v>
      </c>
      <c r="IE18">
        <v>12.4</v>
      </c>
      <c r="IF18">
        <v>2.75</v>
      </c>
      <c r="IG18">
        <v>41</v>
      </c>
      <c r="IH18">
        <v>35.299999999999997</v>
      </c>
      <c r="II18">
        <v>4.24</v>
      </c>
      <c r="IJ18">
        <v>14.9</v>
      </c>
      <c r="IK18">
        <v>22.8</v>
      </c>
      <c r="IL18">
        <v>2.31</v>
      </c>
      <c r="IM18">
        <v>1.37</v>
      </c>
      <c r="IN18">
        <v>29.8</v>
      </c>
      <c r="IO18">
        <v>5.57</v>
      </c>
      <c r="IP18">
        <v>85.7</v>
      </c>
      <c r="IQ18">
        <v>10.6</v>
      </c>
      <c r="IR18">
        <v>3.63</v>
      </c>
      <c r="IS18">
        <v>49.8</v>
      </c>
      <c r="IT18">
        <v>14.6</v>
      </c>
      <c r="IU18">
        <v>48.5</v>
      </c>
      <c r="IV18">
        <v>3.87</v>
      </c>
      <c r="IW18">
        <v>39.700000000000003</v>
      </c>
      <c r="IX18">
        <v>0.32</v>
      </c>
      <c r="IY18">
        <v>6.51</v>
      </c>
      <c r="IZ18">
        <v>51.2</v>
      </c>
      <c r="JA18">
        <v>82.7</v>
      </c>
      <c r="JB18">
        <v>0.28000000000000003</v>
      </c>
      <c r="JC18">
        <v>2.15</v>
      </c>
      <c r="JD18">
        <v>16.7</v>
      </c>
      <c r="JE18">
        <v>28.8</v>
      </c>
      <c r="JF18">
        <v>369</v>
      </c>
      <c r="JG18">
        <v>387</v>
      </c>
      <c r="JH18">
        <v>187</v>
      </c>
      <c r="JI18">
        <v>425</v>
      </c>
      <c r="JJ18">
        <v>171</v>
      </c>
      <c r="JK18">
        <v>-11.4</v>
      </c>
    </row>
    <row r="19" spans="2:271" x14ac:dyDescent="0.2">
      <c r="B19" t="s">
        <v>357</v>
      </c>
      <c r="E19">
        <v>43</v>
      </c>
      <c r="G19" s="4" t="s">
        <v>169</v>
      </c>
      <c r="J19" s="3"/>
      <c r="K19" s="3"/>
      <c r="DT19" s="26"/>
      <c r="DU19" s="26"/>
      <c r="GX19">
        <v>43</v>
      </c>
      <c r="GY19" t="s">
        <v>357</v>
      </c>
      <c r="GZ19">
        <v>15.4</v>
      </c>
      <c r="HA19">
        <v>1.26</v>
      </c>
      <c r="HB19">
        <v>8.8999999999999996E-2</v>
      </c>
      <c r="HC19">
        <v>55.2</v>
      </c>
      <c r="HD19">
        <v>43.4</v>
      </c>
      <c r="HE19">
        <v>60.6</v>
      </c>
      <c r="HF19">
        <v>2.3E-2</v>
      </c>
      <c r="HG19">
        <v>1.44</v>
      </c>
      <c r="HH19">
        <v>1.4</v>
      </c>
      <c r="HI19">
        <v>58.3</v>
      </c>
      <c r="HJ19">
        <v>28.6</v>
      </c>
      <c r="HK19">
        <v>5.67</v>
      </c>
      <c r="HL19">
        <v>51.4</v>
      </c>
      <c r="HM19">
        <v>37.799999999999997</v>
      </c>
      <c r="HN19">
        <v>2.99</v>
      </c>
      <c r="HO19">
        <v>27.3</v>
      </c>
      <c r="HP19">
        <v>55.5</v>
      </c>
      <c r="HQ19">
        <v>6.12</v>
      </c>
      <c r="HR19">
        <v>30</v>
      </c>
      <c r="HS19">
        <v>8.3000000000000007</v>
      </c>
      <c r="HT19">
        <v>52.9</v>
      </c>
      <c r="HU19">
        <v>13.2</v>
      </c>
      <c r="HV19">
        <v>43.8</v>
      </c>
      <c r="HW19">
        <v>4.54</v>
      </c>
      <c r="HX19">
        <v>39.299999999999997</v>
      </c>
      <c r="HY19">
        <v>12.3</v>
      </c>
      <c r="HZ19">
        <v>28.6</v>
      </c>
      <c r="IA19">
        <v>3.34</v>
      </c>
      <c r="IB19">
        <v>4.66</v>
      </c>
      <c r="IC19">
        <v>6.41</v>
      </c>
      <c r="ID19">
        <v>85.6</v>
      </c>
      <c r="IE19">
        <v>21.5</v>
      </c>
      <c r="IF19">
        <v>1.88</v>
      </c>
      <c r="IG19">
        <v>47.6</v>
      </c>
      <c r="IH19">
        <v>48.4</v>
      </c>
      <c r="II19">
        <v>1.05</v>
      </c>
      <c r="IJ19">
        <v>20.3</v>
      </c>
      <c r="IK19">
        <v>22.7</v>
      </c>
      <c r="IL19">
        <v>3.99</v>
      </c>
      <c r="IM19">
        <v>6</v>
      </c>
      <c r="IN19">
        <v>8.74</v>
      </c>
      <c r="IO19">
        <v>8.74</v>
      </c>
      <c r="IP19">
        <v>79.8</v>
      </c>
      <c r="IQ19">
        <v>1.02</v>
      </c>
      <c r="IR19">
        <v>9.3000000000000007</v>
      </c>
      <c r="IS19">
        <v>70</v>
      </c>
      <c r="IT19">
        <v>12.8</v>
      </c>
      <c r="IU19">
        <v>37</v>
      </c>
      <c r="IV19">
        <v>3.61</v>
      </c>
      <c r="IW19">
        <v>47.3</v>
      </c>
      <c r="IX19">
        <v>0.17</v>
      </c>
      <c r="IY19">
        <v>4.93</v>
      </c>
      <c r="IZ19">
        <v>59.6</v>
      </c>
      <c r="JA19">
        <v>79.8</v>
      </c>
      <c r="JB19">
        <v>0.14000000000000001</v>
      </c>
      <c r="JC19">
        <v>1.36</v>
      </c>
      <c r="JD19">
        <v>4.5599999999999996</v>
      </c>
      <c r="JE19">
        <v>-102</v>
      </c>
      <c r="JF19">
        <v>305</v>
      </c>
      <c r="JG19">
        <v>526</v>
      </c>
      <c r="JH19">
        <v>533</v>
      </c>
      <c r="JI19">
        <v>763</v>
      </c>
      <c r="JJ19">
        <v>110</v>
      </c>
      <c r="JK19">
        <v>48.3</v>
      </c>
    </row>
    <row r="20" spans="2:271" x14ac:dyDescent="0.2">
      <c r="B20" s="4" t="s">
        <v>390</v>
      </c>
      <c r="E20">
        <v>34</v>
      </c>
      <c r="G20" s="4" t="s">
        <v>169</v>
      </c>
      <c r="J20" s="3"/>
      <c r="K20" s="3"/>
      <c r="DT20" s="26"/>
      <c r="DU20" s="26"/>
      <c r="GX20">
        <v>34</v>
      </c>
      <c r="GY20" s="4" t="s">
        <v>390</v>
      </c>
      <c r="GZ20" s="4">
        <v>7.19</v>
      </c>
      <c r="HA20" s="4">
        <v>12.2</v>
      </c>
      <c r="HB20" s="4">
        <v>0.16</v>
      </c>
      <c r="HC20" s="4">
        <v>51.6</v>
      </c>
      <c r="HD20" s="4">
        <v>35.9</v>
      </c>
      <c r="HE20" s="4">
        <v>67.7</v>
      </c>
      <c r="HF20" s="4">
        <v>4.1000000000000002E-2</v>
      </c>
      <c r="HG20" s="4">
        <v>11.2</v>
      </c>
      <c r="HH20" s="4">
        <v>3.8</v>
      </c>
      <c r="HI20" s="4">
        <v>56.2</v>
      </c>
      <c r="HJ20" s="4">
        <v>35.6</v>
      </c>
      <c r="HK20" s="4">
        <v>4.82</v>
      </c>
      <c r="HL20" s="4">
        <v>64.7</v>
      </c>
      <c r="HM20" s="4">
        <v>14.1</v>
      </c>
      <c r="HN20" s="4">
        <v>12.3</v>
      </c>
      <c r="HO20" s="4">
        <v>22.2</v>
      </c>
      <c r="HP20" s="4">
        <v>32.200000000000003</v>
      </c>
      <c r="HQ20" s="4">
        <v>19.899999999999999</v>
      </c>
      <c r="HR20" s="4">
        <v>35.1</v>
      </c>
      <c r="HS20" s="4">
        <v>12.8</v>
      </c>
      <c r="HT20" s="4">
        <v>66.2</v>
      </c>
      <c r="HU20" s="4">
        <v>6.43</v>
      </c>
      <c r="HV20" s="4">
        <v>33.299999999999997</v>
      </c>
      <c r="HW20" s="4">
        <v>8.18</v>
      </c>
      <c r="HX20" s="4">
        <v>36.6</v>
      </c>
      <c r="HY20" s="4">
        <v>21.8</v>
      </c>
      <c r="HZ20" s="4">
        <v>19.600000000000001</v>
      </c>
      <c r="IA20" s="4">
        <v>2.37</v>
      </c>
      <c r="IB20" s="4">
        <v>5.0599999999999996</v>
      </c>
      <c r="IC20" s="4">
        <v>10.3</v>
      </c>
      <c r="ID20" s="4">
        <v>80</v>
      </c>
      <c r="IE20" s="4">
        <v>20.5</v>
      </c>
      <c r="IF20" s="4">
        <v>2.38</v>
      </c>
      <c r="IG20" s="4">
        <v>17.100000000000001</v>
      </c>
      <c r="IH20" s="4">
        <v>61.7</v>
      </c>
      <c r="II20" s="4">
        <v>14.8</v>
      </c>
      <c r="IJ20" s="4">
        <v>16.7</v>
      </c>
      <c r="IK20" s="4">
        <v>30</v>
      </c>
      <c r="IL20" s="4">
        <v>0.35</v>
      </c>
      <c r="IM20" s="4">
        <v>0.78</v>
      </c>
      <c r="IN20" s="4">
        <v>1.34</v>
      </c>
      <c r="IO20" s="4">
        <v>1.31</v>
      </c>
      <c r="IP20" s="4">
        <v>70.900000000000006</v>
      </c>
      <c r="IQ20" s="4">
        <v>28</v>
      </c>
      <c r="IR20" s="4">
        <v>1.1100000000000001</v>
      </c>
      <c r="IS20" s="4">
        <v>76.400000000000006</v>
      </c>
      <c r="IT20" s="4">
        <v>22.1</v>
      </c>
      <c r="IU20" s="4">
        <v>45.7</v>
      </c>
      <c r="IV20" s="4">
        <v>4.01</v>
      </c>
      <c r="IW20" s="4">
        <v>48.7</v>
      </c>
      <c r="IX20" s="4">
        <v>0.39</v>
      </c>
      <c r="IY20" s="4">
        <v>7.31</v>
      </c>
      <c r="IZ20" s="4">
        <v>36.9</v>
      </c>
      <c r="JA20" s="4">
        <v>44.8</v>
      </c>
      <c r="JB20" s="4">
        <v>1.1599999999999999</v>
      </c>
      <c r="JC20" s="4">
        <v>3.99</v>
      </c>
      <c r="JD20" s="4">
        <v>6.19</v>
      </c>
      <c r="JE20" s="4">
        <v>-88.5</v>
      </c>
      <c r="JF20" s="4">
        <v>139</v>
      </c>
      <c r="JG20" s="4">
        <v>212</v>
      </c>
      <c r="JH20" s="4">
        <v>261</v>
      </c>
      <c r="JI20" s="4">
        <v>620</v>
      </c>
      <c r="JJ20" s="4">
        <v>254</v>
      </c>
      <c r="JK20" s="4">
        <v>-31.6</v>
      </c>
    </row>
    <row r="21" spans="2:271" x14ac:dyDescent="0.2">
      <c r="B21" t="s">
        <v>367</v>
      </c>
      <c r="E21">
        <v>33</v>
      </c>
      <c r="G21" s="4" t="s">
        <v>169</v>
      </c>
      <c r="J21" s="3"/>
      <c r="K21" s="3"/>
      <c r="DT21" s="26"/>
      <c r="DU21" s="26"/>
      <c r="EE21" s="26"/>
      <c r="EF21" s="26"/>
      <c r="EG21" s="26"/>
      <c r="GX21">
        <v>33</v>
      </c>
      <c r="GY21" t="s">
        <v>367</v>
      </c>
      <c r="GZ21">
        <v>5.63</v>
      </c>
      <c r="HA21">
        <v>8.27</v>
      </c>
      <c r="HB21">
        <v>9.0999999999999998E-2</v>
      </c>
      <c r="HC21">
        <v>66</v>
      </c>
      <c r="HD21">
        <v>25.6</v>
      </c>
      <c r="HE21">
        <v>78.599999999999994</v>
      </c>
      <c r="HF21">
        <v>5.2999999999999999E-2</v>
      </c>
      <c r="HG21">
        <v>5.65</v>
      </c>
      <c r="HH21">
        <v>2.5299999999999998</v>
      </c>
      <c r="HI21">
        <v>71.5</v>
      </c>
      <c r="HJ21">
        <v>51.2</v>
      </c>
      <c r="HK21">
        <v>6.79</v>
      </c>
      <c r="HL21">
        <v>51.2</v>
      </c>
      <c r="HM21">
        <v>24.3</v>
      </c>
      <c r="HN21">
        <v>17.2</v>
      </c>
      <c r="HO21">
        <v>34.4</v>
      </c>
      <c r="HP21">
        <v>36.9</v>
      </c>
      <c r="HQ21">
        <v>10.7</v>
      </c>
      <c r="HR21">
        <v>43.3</v>
      </c>
      <c r="HS21">
        <v>9.1300000000000008</v>
      </c>
      <c r="HT21">
        <v>50.5</v>
      </c>
      <c r="HU21">
        <v>6.59</v>
      </c>
      <c r="HV21">
        <v>40.299999999999997</v>
      </c>
      <c r="HW21">
        <v>2.0299999999999998</v>
      </c>
      <c r="HX21">
        <v>53.5</v>
      </c>
      <c r="HY21">
        <v>4.2300000000000004</v>
      </c>
      <c r="HZ21">
        <v>19.3</v>
      </c>
      <c r="IA21">
        <v>4.84</v>
      </c>
      <c r="IB21">
        <v>25.7</v>
      </c>
      <c r="IC21">
        <v>31.7</v>
      </c>
      <c r="ID21">
        <v>37.700000000000003</v>
      </c>
      <c r="IE21">
        <v>11</v>
      </c>
      <c r="IF21">
        <v>13.6</v>
      </c>
      <c r="IG21">
        <v>15.7</v>
      </c>
      <c r="IH21">
        <v>57.3</v>
      </c>
      <c r="II21">
        <v>7.07</v>
      </c>
      <c r="IJ21">
        <v>19.8</v>
      </c>
      <c r="IK21">
        <v>15.7</v>
      </c>
      <c r="IL21">
        <v>1.51</v>
      </c>
      <c r="IM21">
        <v>0.69</v>
      </c>
      <c r="IN21">
        <v>22.6</v>
      </c>
      <c r="IO21">
        <v>2.2400000000000002</v>
      </c>
      <c r="IP21">
        <v>85.3</v>
      </c>
      <c r="IQ21">
        <v>12.5</v>
      </c>
      <c r="IR21">
        <v>2.0499999999999998</v>
      </c>
      <c r="IS21">
        <v>65.400000000000006</v>
      </c>
      <c r="IT21">
        <v>10.4</v>
      </c>
      <c r="IU21">
        <v>45.9</v>
      </c>
      <c r="IV21">
        <v>9.43</v>
      </c>
      <c r="IW21">
        <v>38.200000000000003</v>
      </c>
      <c r="IX21">
        <v>0.82</v>
      </c>
      <c r="IY21">
        <v>7.45</v>
      </c>
      <c r="IZ21">
        <v>63.3</v>
      </c>
      <c r="JA21">
        <v>84.1</v>
      </c>
      <c r="JB21">
        <v>0.14000000000000001</v>
      </c>
      <c r="JC21">
        <v>1.71</v>
      </c>
      <c r="JD21">
        <v>3.88</v>
      </c>
      <c r="JE21">
        <v>14.1</v>
      </c>
      <c r="JF21">
        <v>297</v>
      </c>
      <c r="JG21">
        <v>512</v>
      </c>
      <c r="JH21">
        <v>349</v>
      </c>
      <c r="JI21">
        <v>438</v>
      </c>
      <c r="JJ21">
        <v>106</v>
      </c>
      <c r="JK21">
        <v>-12.8</v>
      </c>
    </row>
    <row r="22" spans="2:271" x14ac:dyDescent="0.2">
      <c r="B22" s="4" t="s">
        <v>391</v>
      </c>
      <c r="E22">
        <v>53</v>
      </c>
      <c r="G22" s="4" t="s">
        <v>169</v>
      </c>
      <c r="J22" s="3"/>
      <c r="K22" s="3"/>
      <c r="DT22" s="26"/>
      <c r="DU22" s="26"/>
      <c r="GX22">
        <v>53</v>
      </c>
      <c r="GY22" s="4" t="s">
        <v>391</v>
      </c>
      <c r="GZ22" s="4">
        <v>9.4700000000000006</v>
      </c>
      <c r="HA22" s="4">
        <v>7.95</v>
      </c>
      <c r="HB22" s="4">
        <v>1.1100000000000001</v>
      </c>
      <c r="HC22" s="4">
        <v>33.9</v>
      </c>
      <c r="HD22" s="4">
        <v>56.8</v>
      </c>
      <c r="HE22" s="4">
        <v>76.599999999999994</v>
      </c>
      <c r="HF22" s="4">
        <v>5.3999999999999999E-2</v>
      </c>
      <c r="HG22" s="4">
        <v>5.92</v>
      </c>
      <c r="HH22" s="4">
        <v>12.4</v>
      </c>
      <c r="HI22" s="4">
        <v>59.6</v>
      </c>
      <c r="HJ22" s="4">
        <v>33.799999999999997</v>
      </c>
      <c r="HK22" s="4">
        <v>4.4000000000000004</v>
      </c>
      <c r="HL22" s="4">
        <v>41.4</v>
      </c>
      <c r="HM22" s="4">
        <v>22.4</v>
      </c>
      <c r="HN22" s="4">
        <v>26.4</v>
      </c>
      <c r="HO22" s="4">
        <v>43.4</v>
      </c>
      <c r="HP22" s="4">
        <v>19.8</v>
      </c>
      <c r="HQ22" s="4">
        <v>24.7</v>
      </c>
      <c r="HR22" s="4">
        <v>42.5</v>
      </c>
      <c r="HS22" s="4">
        <v>12.9</v>
      </c>
      <c r="HT22" s="4">
        <v>40.1</v>
      </c>
      <c r="HU22" s="4">
        <v>9.26</v>
      </c>
      <c r="HV22" s="4">
        <v>27.5</v>
      </c>
      <c r="HW22" s="4">
        <v>10.1</v>
      </c>
      <c r="HX22" s="4">
        <v>37</v>
      </c>
      <c r="HY22" s="4">
        <v>25.5</v>
      </c>
      <c r="HZ22" s="4">
        <v>24.4</v>
      </c>
      <c r="IA22" s="4">
        <v>6.92</v>
      </c>
      <c r="IB22" s="4">
        <v>9.9499999999999993</v>
      </c>
      <c r="IC22" s="4">
        <v>61.2</v>
      </c>
      <c r="ID22" s="4">
        <v>16.899999999999999</v>
      </c>
      <c r="IE22" s="4">
        <v>11.1</v>
      </c>
      <c r="IF22" s="4">
        <v>1.95</v>
      </c>
      <c r="IG22" s="4">
        <v>30.8</v>
      </c>
      <c r="IH22" s="4">
        <v>55.2</v>
      </c>
      <c r="II22" s="4">
        <v>6.92</v>
      </c>
      <c r="IJ22" s="4">
        <v>20.2</v>
      </c>
      <c r="IK22" s="4">
        <v>16.5</v>
      </c>
      <c r="IL22" s="4">
        <v>0.76</v>
      </c>
      <c r="IM22" s="4">
        <v>3</v>
      </c>
      <c r="IN22" s="4">
        <v>1.51</v>
      </c>
      <c r="IO22" s="4">
        <v>6.36</v>
      </c>
      <c r="IP22" s="4">
        <v>72</v>
      </c>
      <c r="IQ22" s="4">
        <v>23.9</v>
      </c>
      <c r="IR22" s="4">
        <v>3.83</v>
      </c>
      <c r="IS22" s="4">
        <v>74.2</v>
      </c>
      <c r="IT22" s="4">
        <v>18.600000000000001</v>
      </c>
      <c r="IU22" s="4">
        <v>55</v>
      </c>
      <c r="IV22" s="4">
        <v>5.93</v>
      </c>
      <c r="IW22" s="4">
        <v>37.1</v>
      </c>
      <c r="IX22" s="4">
        <v>2.48</v>
      </c>
      <c r="IY22" s="4">
        <v>5.04</v>
      </c>
      <c r="IZ22" s="4">
        <v>16.8</v>
      </c>
      <c r="JA22" s="4">
        <v>62.8</v>
      </c>
      <c r="JB22" s="4">
        <v>1.62</v>
      </c>
      <c r="JC22" s="4">
        <v>3.84</v>
      </c>
      <c r="JD22" s="4">
        <v>11.1</v>
      </c>
      <c r="JE22" s="4">
        <v>-68</v>
      </c>
      <c r="JF22" s="4">
        <v>106</v>
      </c>
      <c r="JG22" s="4">
        <v>184</v>
      </c>
      <c r="JH22" s="4">
        <v>202</v>
      </c>
      <c r="JI22" s="4">
        <v>256</v>
      </c>
      <c r="JJ22" s="4">
        <v>77.2</v>
      </c>
      <c r="JK22" s="4">
        <v>25.1</v>
      </c>
    </row>
    <row r="23" spans="2:271" x14ac:dyDescent="0.2">
      <c r="B23" t="s">
        <v>372</v>
      </c>
      <c r="E23">
        <v>23</v>
      </c>
      <c r="G23" s="4" t="s">
        <v>169</v>
      </c>
      <c r="J23" s="3"/>
      <c r="K23" s="3"/>
      <c r="DT23" s="26"/>
      <c r="DU23" s="26"/>
      <c r="GX23">
        <v>23</v>
      </c>
      <c r="GY23" t="s">
        <v>372</v>
      </c>
      <c r="GZ23">
        <v>7.34</v>
      </c>
      <c r="HA23">
        <v>9.01</v>
      </c>
      <c r="HB23">
        <v>0.25</v>
      </c>
      <c r="HC23">
        <v>57.6</v>
      </c>
      <c r="HD23">
        <v>33.1</v>
      </c>
      <c r="HE23">
        <v>74.8</v>
      </c>
      <c r="HF23">
        <v>8.5999999999999993E-2</v>
      </c>
      <c r="HG23">
        <v>6.07</v>
      </c>
      <c r="HH23">
        <v>2.5499999999999998</v>
      </c>
      <c r="HI23">
        <v>67.599999999999994</v>
      </c>
      <c r="HJ23">
        <v>40.200000000000003</v>
      </c>
      <c r="HK23">
        <v>5.65</v>
      </c>
      <c r="HL23">
        <v>48.8</v>
      </c>
      <c r="HM23">
        <v>22.4</v>
      </c>
      <c r="HN23">
        <v>21.3</v>
      </c>
      <c r="HO23">
        <v>39.799999999999997</v>
      </c>
      <c r="HP23">
        <v>28.8</v>
      </c>
      <c r="HQ23">
        <v>12.5</v>
      </c>
      <c r="HR23">
        <v>53.5</v>
      </c>
      <c r="HS23">
        <v>5.24</v>
      </c>
      <c r="HT23">
        <v>46.5</v>
      </c>
      <c r="HU23">
        <v>4.8099999999999996</v>
      </c>
      <c r="HV23">
        <v>37.9</v>
      </c>
      <c r="HW23">
        <v>1.67</v>
      </c>
      <c r="HX23">
        <v>56.4</v>
      </c>
      <c r="HY23">
        <v>4.05</v>
      </c>
      <c r="HZ23">
        <v>24.2</v>
      </c>
      <c r="IA23">
        <v>4.3</v>
      </c>
      <c r="IB23">
        <v>14.6</v>
      </c>
      <c r="IC23">
        <v>49.2</v>
      </c>
      <c r="ID23">
        <v>31.7</v>
      </c>
      <c r="IE23">
        <v>11.6</v>
      </c>
      <c r="IF23">
        <v>11.2</v>
      </c>
      <c r="IG23">
        <v>39.700000000000003</v>
      </c>
      <c r="IH23">
        <v>34.9</v>
      </c>
      <c r="II23">
        <v>4.8600000000000003</v>
      </c>
      <c r="IJ23">
        <v>4.58</v>
      </c>
      <c r="IK23">
        <v>38.9</v>
      </c>
      <c r="IL23">
        <v>0.67</v>
      </c>
      <c r="IM23">
        <v>4.9400000000000004</v>
      </c>
      <c r="IN23">
        <v>4.7300000000000004</v>
      </c>
      <c r="IO23">
        <v>7.52</v>
      </c>
      <c r="IP23">
        <v>81.5</v>
      </c>
      <c r="IQ23">
        <v>12.2</v>
      </c>
      <c r="IR23">
        <v>5.99</v>
      </c>
      <c r="IS23">
        <v>81.400000000000006</v>
      </c>
      <c r="IT23">
        <v>6.04</v>
      </c>
      <c r="IU23">
        <v>48.5</v>
      </c>
      <c r="IV23">
        <v>2.3199999999999998</v>
      </c>
      <c r="IW23">
        <v>44.6</v>
      </c>
      <c r="IX23">
        <v>2.71</v>
      </c>
      <c r="IY23">
        <v>16.600000000000001</v>
      </c>
      <c r="IZ23">
        <v>57.8</v>
      </c>
      <c r="JA23">
        <v>79.400000000000006</v>
      </c>
      <c r="JB23">
        <v>0.24</v>
      </c>
      <c r="JC23">
        <v>1.84</v>
      </c>
      <c r="JD23">
        <v>7.55</v>
      </c>
      <c r="JE23">
        <v>57.5</v>
      </c>
      <c r="JF23">
        <v>325</v>
      </c>
      <c r="JG23">
        <v>426</v>
      </c>
      <c r="JH23">
        <v>400</v>
      </c>
      <c r="JI23">
        <v>384</v>
      </c>
      <c r="JJ23">
        <v>74.3</v>
      </c>
      <c r="JK23">
        <v>26.9</v>
      </c>
    </row>
    <row r="24" spans="2:271" x14ac:dyDescent="0.2">
      <c r="B24" t="s">
        <v>383</v>
      </c>
      <c r="E24">
        <v>46</v>
      </c>
      <c r="G24" s="4" t="s">
        <v>169</v>
      </c>
      <c r="J24" s="3"/>
      <c r="K24" s="3"/>
      <c r="DT24" s="26"/>
      <c r="DU24" s="26"/>
      <c r="GX24">
        <v>46</v>
      </c>
      <c r="GY24" t="s">
        <v>383</v>
      </c>
      <c r="GZ24">
        <v>19.3</v>
      </c>
      <c r="HA24">
        <v>3.27</v>
      </c>
      <c r="HB24">
        <v>1.53</v>
      </c>
      <c r="HC24">
        <v>50.7</v>
      </c>
      <c r="HD24">
        <v>44.5</v>
      </c>
      <c r="HE24">
        <v>69.7</v>
      </c>
      <c r="HF24" s="6">
        <v>7.8300000000000002E-3</v>
      </c>
      <c r="HG24">
        <v>4.8</v>
      </c>
      <c r="HH24">
        <v>1.98</v>
      </c>
      <c r="HI24">
        <v>64.099999999999994</v>
      </c>
      <c r="HJ24">
        <v>48.8</v>
      </c>
      <c r="HK24">
        <v>5.61</v>
      </c>
      <c r="HL24">
        <v>72.599999999999994</v>
      </c>
      <c r="HM24">
        <v>15.5</v>
      </c>
      <c r="HN24">
        <v>4.8600000000000003</v>
      </c>
      <c r="HO24">
        <v>17.399999999999999</v>
      </c>
      <c r="HP24">
        <v>26.6</v>
      </c>
      <c r="HQ24">
        <v>20.399999999999999</v>
      </c>
      <c r="HR24">
        <v>39.6</v>
      </c>
      <c r="HS24">
        <v>13.4</v>
      </c>
      <c r="HT24">
        <v>73.099999999999994</v>
      </c>
      <c r="HU24">
        <v>3.27</v>
      </c>
      <c r="HV24">
        <v>30.2</v>
      </c>
      <c r="HW24">
        <v>8.7100000000000009</v>
      </c>
      <c r="HX24">
        <v>40.5</v>
      </c>
      <c r="HY24">
        <v>20.6</v>
      </c>
      <c r="HZ24">
        <v>14.6</v>
      </c>
      <c r="IA24">
        <v>5.92</v>
      </c>
      <c r="IB24">
        <v>8.68</v>
      </c>
      <c r="IC24">
        <v>16.100000000000001</v>
      </c>
      <c r="ID24">
        <v>69.2</v>
      </c>
      <c r="IE24">
        <v>10.4</v>
      </c>
      <c r="IF24">
        <v>1.87</v>
      </c>
      <c r="IG24">
        <v>17.7</v>
      </c>
      <c r="IH24">
        <v>66.7</v>
      </c>
      <c r="II24">
        <v>7.66</v>
      </c>
      <c r="IJ24">
        <v>7.78</v>
      </c>
      <c r="IK24">
        <v>14.4</v>
      </c>
      <c r="IL24">
        <v>0.36</v>
      </c>
      <c r="IM24">
        <v>0.28000000000000003</v>
      </c>
      <c r="IN24">
        <v>1.27</v>
      </c>
      <c r="IO24">
        <v>3.75</v>
      </c>
      <c r="IP24">
        <v>94.5</v>
      </c>
      <c r="IQ24">
        <v>5.16</v>
      </c>
      <c r="IR24">
        <v>0.3</v>
      </c>
      <c r="IS24">
        <v>90.7</v>
      </c>
      <c r="IT24">
        <v>5.2</v>
      </c>
      <c r="IU24">
        <v>63.9</v>
      </c>
      <c r="IV24">
        <v>7.9</v>
      </c>
      <c r="IW24">
        <v>23</v>
      </c>
      <c r="IX24">
        <v>0.64</v>
      </c>
      <c r="IY24">
        <v>10.6</v>
      </c>
      <c r="IZ24">
        <v>55.3</v>
      </c>
      <c r="JA24">
        <v>52.5</v>
      </c>
      <c r="JB24">
        <v>0.25</v>
      </c>
      <c r="JC24">
        <v>1.68</v>
      </c>
      <c r="JD24">
        <v>6.2</v>
      </c>
      <c r="JE24">
        <v>30</v>
      </c>
      <c r="JF24">
        <v>429</v>
      </c>
      <c r="JG24">
        <v>582</v>
      </c>
      <c r="JH24">
        <v>593</v>
      </c>
      <c r="JI24">
        <v>936</v>
      </c>
      <c r="JJ24">
        <v>500</v>
      </c>
      <c r="JK24">
        <v>23.6</v>
      </c>
    </row>
    <row r="25" spans="2:271" x14ac:dyDescent="0.2">
      <c r="B25" s="4" t="s">
        <v>392</v>
      </c>
      <c r="E25">
        <v>50</v>
      </c>
      <c r="G25" s="4" t="s">
        <v>169</v>
      </c>
      <c r="J25" s="3"/>
      <c r="K25" s="3"/>
      <c r="GX25">
        <v>50</v>
      </c>
      <c r="GY25" s="4" t="s">
        <v>392</v>
      </c>
      <c r="GZ25" s="4">
        <v>6.05</v>
      </c>
      <c r="HA25" s="4">
        <v>8.4499999999999993</v>
      </c>
      <c r="HB25" s="4">
        <v>7.9000000000000001E-2</v>
      </c>
      <c r="HC25" s="4">
        <v>46.5</v>
      </c>
      <c r="HD25" s="4">
        <v>44.9</v>
      </c>
      <c r="HE25" s="4">
        <v>79.8</v>
      </c>
      <c r="HF25" s="4">
        <v>2.9000000000000001E-2</v>
      </c>
      <c r="HG25" s="4">
        <v>2.93</v>
      </c>
      <c r="HH25" s="4">
        <v>1.78</v>
      </c>
      <c r="HI25" s="4">
        <v>75.599999999999994</v>
      </c>
      <c r="HJ25" s="4">
        <v>54.3</v>
      </c>
      <c r="HK25" s="4">
        <v>1.73</v>
      </c>
      <c r="HL25" s="4">
        <v>59.9</v>
      </c>
      <c r="HM25" s="4">
        <v>27.2</v>
      </c>
      <c r="HN25" s="4">
        <v>7.17</v>
      </c>
      <c r="HO25" s="4">
        <v>31.8</v>
      </c>
      <c r="HP25" s="4">
        <v>60.3</v>
      </c>
      <c r="HQ25" s="4">
        <v>4.47</v>
      </c>
      <c r="HR25" s="4">
        <v>28.9</v>
      </c>
      <c r="HS25" s="4">
        <v>6.32</v>
      </c>
      <c r="HT25" s="4">
        <v>62.1</v>
      </c>
      <c r="HU25" s="4">
        <v>5.9</v>
      </c>
      <c r="HV25" s="4">
        <v>53.1</v>
      </c>
      <c r="HW25" s="4">
        <v>1.18</v>
      </c>
      <c r="HX25" s="4">
        <v>39</v>
      </c>
      <c r="HY25" s="4">
        <v>6.67</v>
      </c>
      <c r="HZ25" s="4">
        <v>20.5</v>
      </c>
      <c r="IA25" s="4">
        <v>7.9</v>
      </c>
      <c r="IB25" s="4">
        <v>5.04</v>
      </c>
      <c r="IC25" s="4">
        <v>47.1</v>
      </c>
      <c r="ID25" s="4">
        <v>34.5</v>
      </c>
      <c r="IE25" s="4">
        <v>9.6999999999999993</v>
      </c>
      <c r="IF25" s="4">
        <v>3.83</v>
      </c>
      <c r="IG25" s="4">
        <v>52.3</v>
      </c>
      <c r="IH25" s="4">
        <v>36.200000000000003</v>
      </c>
      <c r="II25" s="4">
        <v>1.38</v>
      </c>
      <c r="IJ25" s="4">
        <v>11.5</v>
      </c>
      <c r="IK25" s="4">
        <v>7.76</v>
      </c>
      <c r="IL25" s="4">
        <v>0.82</v>
      </c>
      <c r="IM25" s="4">
        <v>0.93</v>
      </c>
      <c r="IN25" s="4">
        <v>3.9</v>
      </c>
      <c r="IO25" s="4">
        <v>10.4</v>
      </c>
      <c r="IP25" s="4">
        <v>59.3</v>
      </c>
      <c r="IQ25" s="4">
        <v>38.4</v>
      </c>
      <c r="IR25" s="4">
        <v>2.1</v>
      </c>
      <c r="IS25" s="4">
        <v>65.5</v>
      </c>
      <c r="IT25" s="4">
        <v>21.6</v>
      </c>
      <c r="IU25" s="4">
        <v>71.400000000000006</v>
      </c>
      <c r="IV25" s="4">
        <v>4.04</v>
      </c>
      <c r="IW25" s="4">
        <v>20.399999999999999</v>
      </c>
      <c r="IX25" s="4">
        <v>2.54</v>
      </c>
      <c r="IY25" s="4">
        <v>8.81</v>
      </c>
      <c r="IZ25" s="4">
        <v>36.9</v>
      </c>
      <c r="JA25" s="4">
        <v>60.2</v>
      </c>
      <c r="JB25" s="4">
        <v>1.39</v>
      </c>
      <c r="JC25" s="4">
        <v>1.54</v>
      </c>
      <c r="JD25" s="4">
        <v>4.92</v>
      </c>
      <c r="JE25" s="4">
        <v>-85</v>
      </c>
      <c r="JF25" s="4">
        <v>166</v>
      </c>
      <c r="JG25" s="4">
        <v>164</v>
      </c>
      <c r="JH25" s="4">
        <v>275</v>
      </c>
      <c r="JI25" s="4">
        <v>466</v>
      </c>
      <c r="JJ25" s="4">
        <v>162</v>
      </c>
      <c r="JK25" s="4">
        <v>-2.34</v>
      </c>
    </row>
    <row r="26" spans="2:271" x14ac:dyDescent="0.2">
      <c r="B26" s="4" t="s">
        <v>393</v>
      </c>
      <c r="E26">
        <v>39</v>
      </c>
      <c r="G26" s="4" t="s">
        <v>169</v>
      </c>
      <c r="J26" s="3"/>
      <c r="K26" s="3"/>
      <c r="GX26">
        <v>39</v>
      </c>
      <c r="GY26" s="4" t="s">
        <v>393</v>
      </c>
      <c r="GZ26" s="4">
        <v>4.87</v>
      </c>
      <c r="HA26" s="4">
        <v>12.2</v>
      </c>
      <c r="HB26" s="4">
        <v>0.22</v>
      </c>
      <c r="HC26" s="4">
        <v>45.4</v>
      </c>
      <c r="HD26" s="4">
        <v>42</v>
      </c>
      <c r="HE26" s="4">
        <v>71.7</v>
      </c>
      <c r="HF26" s="4">
        <v>8.4000000000000005E-2</v>
      </c>
      <c r="HG26" s="4">
        <v>1.35</v>
      </c>
      <c r="HH26" s="4">
        <v>1.39</v>
      </c>
      <c r="HI26" s="4">
        <v>69.2</v>
      </c>
      <c r="HJ26" s="4">
        <v>59.6</v>
      </c>
      <c r="HK26" s="4">
        <v>3.13</v>
      </c>
      <c r="HL26" s="4">
        <v>63.5</v>
      </c>
      <c r="HM26" s="4">
        <v>20.399999999999999</v>
      </c>
      <c r="HN26" s="4">
        <v>8.0299999999999994</v>
      </c>
      <c r="HO26" s="4">
        <v>24</v>
      </c>
      <c r="HP26" s="4">
        <v>29.3</v>
      </c>
      <c r="HQ26" s="4">
        <v>26.9</v>
      </c>
      <c r="HR26" s="4">
        <v>32.700000000000003</v>
      </c>
      <c r="HS26" s="4">
        <v>11.1</v>
      </c>
      <c r="HT26" s="4">
        <v>67</v>
      </c>
      <c r="HU26" s="4">
        <v>7.03</v>
      </c>
      <c r="HV26" s="4">
        <v>30.8</v>
      </c>
      <c r="HW26" s="4">
        <v>14.7</v>
      </c>
      <c r="HX26" s="4">
        <v>32.6</v>
      </c>
      <c r="HY26" s="4">
        <v>21.9</v>
      </c>
      <c r="HZ26" s="4">
        <v>8.77</v>
      </c>
      <c r="IA26" s="4">
        <v>7.19</v>
      </c>
      <c r="IB26" s="4">
        <v>11.1</v>
      </c>
      <c r="IC26" s="4">
        <v>10.1</v>
      </c>
      <c r="ID26" s="4">
        <v>68.2</v>
      </c>
      <c r="IE26" s="4">
        <v>20.7</v>
      </c>
      <c r="IF26" s="4">
        <v>2.25</v>
      </c>
      <c r="IG26" s="4">
        <v>6.41</v>
      </c>
      <c r="IH26" s="4">
        <v>79.900000000000006</v>
      </c>
      <c r="II26" s="4">
        <v>9.66</v>
      </c>
      <c r="IJ26" s="4">
        <v>28.7</v>
      </c>
      <c r="IK26" s="4">
        <v>27.8</v>
      </c>
      <c r="IL26" s="4">
        <v>0.41</v>
      </c>
      <c r="IM26" s="4">
        <v>0.71</v>
      </c>
      <c r="IN26" s="4">
        <v>1.65</v>
      </c>
      <c r="IO26" s="4">
        <v>2.14</v>
      </c>
      <c r="IP26" s="4">
        <v>65</v>
      </c>
      <c r="IQ26" s="4">
        <v>34.1</v>
      </c>
      <c r="IR26" s="4">
        <v>0.95</v>
      </c>
      <c r="IS26" s="4">
        <v>74.8</v>
      </c>
      <c r="IT26" s="4">
        <v>23</v>
      </c>
      <c r="IU26" s="4">
        <v>31.4</v>
      </c>
      <c r="IV26" s="4">
        <v>4.47</v>
      </c>
      <c r="IW26" s="4">
        <v>59</v>
      </c>
      <c r="IX26" s="4">
        <v>0.38</v>
      </c>
      <c r="IY26" s="4">
        <v>14.5</v>
      </c>
      <c r="IZ26" s="4">
        <v>47.6</v>
      </c>
      <c r="JA26" s="4">
        <v>49.3</v>
      </c>
      <c r="JB26" s="4">
        <v>1.41</v>
      </c>
      <c r="JC26" s="4">
        <v>6.14</v>
      </c>
      <c r="JD26" s="4">
        <v>12.8</v>
      </c>
      <c r="JE26" s="4">
        <v>-100</v>
      </c>
      <c r="JF26" s="4">
        <v>108</v>
      </c>
      <c r="JG26" s="4">
        <v>115</v>
      </c>
      <c r="JH26" s="4">
        <v>301</v>
      </c>
      <c r="JI26" s="4">
        <v>576</v>
      </c>
      <c r="JJ26" s="4">
        <v>280</v>
      </c>
      <c r="JK26" s="4">
        <v>-64.8</v>
      </c>
    </row>
    <row r="27" spans="2:271" x14ac:dyDescent="0.2">
      <c r="B27" s="4" t="s">
        <v>399</v>
      </c>
      <c r="E27">
        <v>38</v>
      </c>
      <c r="G27" s="4" t="s">
        <v>169</v>
      </c>
      <c r="J27" s="3"/>
      <c r="K27" s="3"/>
      <c r="GX27">
        <v>38</v>
      </c>
      <c r="GY27" s="4" t="s">
        <v>399</v>
      </c>
      <c r="GZ27" s="4">
        <v>9.8000000000000007</v>
      </c>
      <c r="HA27" s="4">
        <v>4.5</v>
      </c>
      <c r="HB27" s="4">
        <v>3.1E-2</v>
      </c>
      <c r="HC27" s="4">
        <v>25.3</v>
      </c>
      <c r="HD27" s="4">
        <v>70.2</v>
      </c>
      <c r="HE27" s="4">
        <v>76.8</v>
      </c>
      <c r="HF27" s="4">
        <v>0.28999999999999998</v>
      </c>
      <c r="HG27" s="4">
        <v>4.1500000000000004</v>
      </c>
      <c r="HH27" s="4">
        <v>5.71</v>
      </c>
      <c r="HI27" s="4">
        <v>66</v>
      </c>
      <c r="HJ27" s="4">
        <v>44.9</v>
      </c>
      <c r="HK27" s="4">
        <v>4.03</v>
      </c>
      <c r="HL27" s="4">
        <v>46.7</v>
      </c>
      <c r="HM27" s="4">
        <v>35.4</v>
      </c>
      <c r="HN27" s="4">
        <v>12.7</v>
      </c>
      <c r="HO27" s="4">
        <v>43.7</v>
      </c>
      <c r="HP27" s="4">
        <v>69.599999999999994</v>
      </c>
      <c r="HQ27" s="4">
        <v>3.87</v>
      </c>
      <c r="HR27" s="4">
        <v>20.7</v>
      </c>
      <c r="HS27" s="4">
        <v>5.86</v>
      </c>
      <c r="HT27" s="4">
        <v>46.1</v>
      </c>
      <c r="HU27" s="4">
        <v>4.82</v>
      </c>
      <c r="HV27" s="4">
        <v>67.599999999999994</v>
      </c>
      <c r="HW27" s="4">
        <v>0.44</v>
      </c>
      <c r="HX27" s="4">
        <v>29.8</v>
      </c>
      <c r="HY27" s="4">
        <v>2.13</v>
      </c>
      <c r="HZ27" s="4">
        <v>19.600000000000001</v>
      </c>
      <c r="IA27" s="4">
        <v>6.45</v>
      </c>
      <c r="IB27" s="4">
        <v>10.4</v>
      </c>
      <c r="IC27" s="4">
        <v>37.1</v>
      </c>
      <c r="ID27" s="4">
        <v>46</v>
      </c>
      <c r="IE27" s="4">
        <v>11.5</v>
      </c>
      <c r="IF27" s="4">
        <v>3.85</v>
      </c>
      <c r="IG27" s="4">
        <v>25.4</v>
      </c>
      <c r="IH27" s="4">
        <v>48.6</v>
      </c>
      <c r="II27" s="4">
        <v>10.4</v>
      </c>
      <c r="IJ27" s="4">
        <v>4.46</v>
      </c>
      <c r="IK27" s="4">
        <v>18.2</v>
      </c>
      <c r="IL27" s="4">
        <v>1.39</v>
      </c>
      <c r="IM27" s="4">
        <v>1.37</v>
      </c>
      <c r="IN27" s="4">
        <v>5.2</v>
      </c>
      <c r="IO27" s="4">
        <v>9.52</v>
      </c>
      <c r="IP27" s="4">
        <v>46.9</v>
      </c>
      <c r="IQ27" s="4">
        <v>51.2</v>
      </c>
      <c r="IR27" s="4">
        <v>1.74</v>
      </c>
      <c r="IS27" s="4">
        <v>47.8</v>
      </c>
      <c r="IT27" s="4">
        <v>40.799999999999997</v>
      </c>
      <c r="IU27" s="4">
        <v>59</v>
      </c>
      <c r="IV27" s="4">
        <v>9.08</v>
      </c>
      <c r="IW27" s="4">
        <v>23.4</v>
      </c>
      <c r="IX27" s="4">
        <v>3.77</v>
      </c>
      <c r="IY27" s="4">
        <v>11.5</v>
      </c>
      <c r="IZ27" s="4">
        <v>42.5</v>
      </c>
      <c r="JA27" s="4">
        <v>75.3</v>
      </c>
      <c r="JB27" s="4">
        <v>0.3</v>
      </c>
      <c r="JC27" s="4">
        <v>0.96</v>
      </c>
      <c r="JD27" s="4">
        <v>22.8</v>
      </c>
      <c r="JE27" s="4">
        <v>-14.8</v>
      </c>
      <c r="JF27" s="4">
        <v>278</v>
      </c>
      <c r="JG27" s="4">
        <v>204</v>
      </c>
      <c r="JH27" s="4">
        <v>697</v>
      </c>
      <c r="JI27" s="4">
        <v>934</v>
      </c>
      <c r="JJ27" s="4">
        <v>203</v>
      </c>
      <c r="JK27" s="4">
        <v>60.8</v>
      </c>
    </row>
    <row r="28" spans="2:271" x14ac:dyDescent="0.2">
      <c r="B28" t="s">
        <v>377</v>
      </c>
      <c r="E28">
        <v>41</v>
      </c>
      <c r="G28" t="s">
        <v>163</v>
      </c>
      <c r="J28" s="3"/>
      <c r="K28" s="3"/>
      <c r="GX28">
        <v>41</v>
      </c>
      <c r="GY28" t="s">
        <v>377</v>
      </c>
      <c r="GZ28">
        <v>11.4</v>
      </c>
      <c r="HA28">
        <v>2.89</v>
      </c>
      <c r="HB28" s="6">
        <v>7.0899999999999999E-3</v>
      </c>
      <c r="HC28">
        <v>62.2</v>
      </c>
      <c r="HD28">
        <v>34.9</v>
      </c>
      <c r="HE28">
        <v>71.900000000000006</v>
      </c>
      <c r="HF28">
        <v>1.2999999999999999E-2</v>
      </c>
      <c r="HG28">
        <v>1.21</v>
      </c>
      <c r="HH28">
        <v>1.37</v>
      </c>
      <c r="HI28">
        <v>69.7</v>
      </c>
      <c r="HJ28">
        <v>44.3</v>
      </c>
      <c r="HK28">
        <v>6.04</v>
      </c>
      <c r="HL28">
        <v>44.5</v>
      </c>
      <c r="HM28">
        <v>38.5</v>
      </c>
      <c r="HN28">
        <v>10.3</v>
      </c>
      <c r="HO28">
        <v>42.1</v>
      </c>
      <c r="HP28">
        <v>44.1</v>
      </c>
      <c r="HQ28">
        <v>12.3</v>
      </c>
      <c r="HR28">
        <v>32</v>
      </c>
      <c r="HS28">
        <v>11.6</v>
      </c>
      <c r="HT28">
        <v>44.8</v>
      </c>
      <c r="HU28">
        <v>6.19</v>
      </c>
      <c r="HV28">
        <v>35.1</v>
      </c>
      <c r="HW28">
        <v>8.49</v>
      </c>
      <c r="HX28">
        <v>33.200000000000003</v>
      </c>
      <c r="HY28">
        <v>23.3</v>
      </c>
      <c r="HZ28">
        <v>23.4</v>
      </c>
      <c r="IA28">
        <v>8.85</v>
      </c>
      <c r="IB28">
        <v>26.1</v>
      </c>
      <c r="IC28">
        <v>40.1</v>
      </c>
      <c r="ID28">
        <v>25</v>
      </c>
      <c r="IE28">
        <v>13.1</v>
      </c>
      <c r="IF28">
        <v>3.16</v>
      </c>
      <c r="IG28">
        <v>12.2</v>
      </c>
      <c r="IH28">
        <v>78.400000000000006</v>
      </c>
      <c r="II28">
        <v>4.07</v>
      </c>
      <c r="IJ28">
        <v>8.89</v>
      </c>
      <c r="IK28">
        <v>19.8</v>
      </c>
      <c r="IL28">
        <v>0.28000000000000003</v>
      </c>
      <c r="IM28">
        <v>1.35</v>
      </c>
      <c r="IN28">
        <v>4.66</v>
      </c>
      <c r="IO28">
        <v>4.16</v>
      </c>
      <c r="IP28">
        <v>65.8</v>
      </c>
      <c r="IQ28">
        <v>32.6</v>
      </c>
      <c r="IR28">
        <v>1.53</v>
      </c>
      <c r="IS28">
        <v>62.5</v>
      </c>
      <c r="IT28">
        <v>30</v>
      </c>
      <c r="IU28">
        <v>65.599999999999994</v>
      </c>
      <c r="IV28">
        <v>2.4300000000000002</v>
      </c>
      <c r="IW28">
        <v>29.1</v>
      </c>
      <c r="IX28">
        <v>0.63</v>
      </c>
      <c r="IY28">
        <v>3.75</v>
      </c>
      <c r="IZ28">
        <v>56.3</v>
      </c>
      <c r="JA28">
        <v>49</v>
      </c>
      <c r="JB28">
        <v>0.56000000000000005</v>
      </c>
      <c r="JC28">
        <v>0.86</v>
      </c>
      <c r="JD28">
        <v>23.3</v>
      </c>
      <c r="JE28">
        <v>-119</v>
      </c>
      <c r="JF28">
        <v>276</v>
      </c>
      <c r="JG28">
        <v>188</v>
      </c>
      <c r="JH28">
        <v>257</v>
      </c>
      <c r="JI28">
        <v>162</v>
      </c>
      <c r="JJ28">
        <v>-60.9</v>
      </c>
      <c r="JK28">
        <v>-114</v>
      </c>
    </row>
    <row r="29" spans="2:271" x14ac:dyDescent="0.2">
      <c r="B29" t="s">
        <v>384</v>
      </c>
      <c r="E29">
        <v>32</v>
      </c>
      <c r="G29" s="4" t="s">
        <v>169</v>
      </c>
      <c r="J29" s="3"/>
      <c r="K29" s="3"/>
      <c r="GX29">
        <v>32</v>
      </c>
      <c r="GY29" t="s">
        <v>384</v>
      </c>
      <c r="GZ29">
        <v>14.6</v>
      </c>
      <c r="HA29">
        <v>3.47</v>
      </c>
      <c r="HB29">
        <v>2.37</v>
      </c>
      <c r="HC29">
        <v>46.8</v>
      </c>
      <c r="HD29">
        <v>47.4</v>
      </c>
      <c r="HE29">
        <v>80.8</v>
      </c>
      <c r="HF29">
        <v>0.15</v>
      </c>
      <c r="HG29">
        <v>7.77</v>
      </c>
      <c r="HH29">
        <v>1</v>
      </c>
      <c r="HI29">
        <v>73.3</v>
      </c>
      <c r="HJ29">
        <v>53.7</v>
      </c>
      <c r="HK29">
        <v>7.03</v>
      </c>
      <c r="HL29">
        <v>55.4</v>
      </c>
      <c r="HM29">
        <v>26.3</v>
      </c>
      <c r="HN29">
        <v>9.6199999999999992</v>
      </c>
      <c r="HO29">
        <v>30.4</v>
      </c>
      <c r="HP29">
        <v>44.1</v>
      </c>
      <c r="HQ29">
        <v>9.73</v>
      </c>
      <c r="HR29">
        <v>37.9</v>
      </c>
      <c r="HS29">
        <v>8.24</v>
      </c>
      <c r="HT29">
        <v>56.3</v>
      </c>
      <c r="HU29">
        <v>6.07</v>
      </c>
      <c r="HV29">
        <v>45.3</v>
      </c>
      <c r="HW29">
        <v>3.36</v>
      </c>
      <c r="HX29">
        <v>40.5</v>
      </c>
      <c r="HY29">
        <v>10.8</v>
      </c>
      <c r="HZ29">
        <v>18.600000000000001</v>
      </c>
      <c r="IA29">
        <v>13.7</v>
      </c>
      <c r="IB29">
        <v>19.8</v>
      </c>
      <c r="IC29">
        <v>7</v>
      </c>
      <c r="ID29">
        <v>59.5</v>
      </c>
      <c r="IE29">
        <v>7.17</v>
      </c>
      <c r="IF29">
        <v>4.54</v>
      </c>
      <c r="IG29">
        <v>41.1</v>
      </c>
      <c r="IH29">
        <v>36.6</v>
      </c>
      <c r="II29">
        <v>6.79</v>
      </c>
      <c r="IJ29">
        <v>14.2</v>
      </c>
      <c r="IK29">
        <v>12.7</v>
      </c>
      <c r="IL29">
        <v>1.07</v>
      </c>
      <c r="IM29">
        <v>1.61</v>
      </c>
      <c r="IN29">
        <v>2.71</v>
      </c>
      <c r="IO29">
        <v>15.9</v>
      </c>
      <c r="IP29">
        <v>91.8</v>
      </c>
      <c r="IQ29">
        <v>5.79</v>
      </c>
      <c r="IR29">
        <v>2.0699999999999998</v>
      </c>
      <c r="IS29">
        <v>78.599999999999994</v>
      </c>
      <c r="IT29">
        <v>3.9</v>
      </c>
      <c r="IU29">
        <v>63.8</v>
      </c>
      <c r="IV29">
        <v>5.19</v>
      </c>
      <c r="IW29">
        <v>27.1</v>
      </c>
      <c r="IX29">
        <v>0.47</v>
      </c>
      <c r="IY29">
        <v>10.7</v>
      </c>
      <c r="IZ29">
        <v>64.3</v>
      </c>
      <c r="JA29">
        <v>66.7</v>
      </c>
      <c r="JB29">
        <v>0.31</v>
      </c>
      <c r="JC29">
        <v>1.91</v>
      </c>
      <c r="JD29">
        <v>36.5</v>
      </c>
      <c r="JE29">
        <v>15.7</v>
      </c>
      <c r="JF29">
        <v>238</v>
      </c>
      <c r="JG29">
        <v>295</v>
      </c>
      <c r="JH29">
        <v>356</v>
      </c>
      <c r="JI29">
        <v>597</v>
      </c>
      <c r="JJ29">
        <v>140</v>
      </c>
      <c r="JK29">
        <v>-28.4</v>
      </c>
    </row>
    <row r="30" spans="2:271" x14ac:dyDescent="0.2">
      <c r="B30" s="4" t="s">
        <v>394</v>
      </c>
      <c r="E30">
        <v>31</v>
      </c>
      <c r="G30" t="s">
        <v>163</v>
      </c>
      <c r="J30" s="3"/>
      <c r="K30" s="3"/>
      <c r="GX30">
        <v>31</v>
      </c>
      <c r="GY30" s="4" t="s">
        <v>394</v>
      </c>
      <c r="GZ30" s="4">
        <v>16.899999999999999</v>
      </c>
      <c r="HA30" s="4">
        <v>3.48</v>
      </c>
      <c r="HB30" s="4">
        <v>0.42</v>
      </c>
      <c r="HC30" s="4">
        <v>29</v>
      </c>
      <c r="HD30" s="4">
        <v>67.099999999999994</v>
      </c>
      <c r="HE30" s="4">
        <v>61.6</v>
      </c>
      <c r="HF30" s="4">
        <v>2.5999999999999999E-2</v>
      </c>
      <c r="HG30" s="4">
        <v>4.22</v>
      </c>
      <c r="HH30" s="4">
        <v>6.74</v>
      </c>
      <c r="HI30" s="4">
        <v>52.2</v>
      </c>
      <c r="HJ30" s="4">
        <v>37.5</v>
      </c>
      <c r="HK30" s="4">
        <v>4.74</v>
      </c>
      <c r="HL30" s="4">
        <v>52.3</v>
      </c>
      <c r="HM30" s="4">
        <v>22.6</v>
      </c>
      <c r="HN30" s="4">
        <v>15.7</v>
      </c>
      <c r="HO30" s="4">
        <v>31.7</v>
      </c>
      <c r="HP30" s="4">
        <v>25</v>
      </c>
      <c r="HQ30" s="4">
        <v>24.4</v>
      </c>
      <c r="HR30" s="4">
        <v>36</v>
      </c>
      <c r="HS30" s="4">
        <v>14.6</v>
      </c>
      <c r="HT30" s="4">
        <v>54.7</v>
      </c>
      <c r="HU30" s="4">
        <v>9.2799999999999994</v>
      </c>
      <c r="HV30" s="4">
        <v>27.9</v>
      </c>
      <c r="HW30" s="4">
        <v>14.3</v>
      </c>
      <c r="HX30" s="4">
        <v>33.4</v>
      </c>
      <c r="HY30" s="4">
        <v>24.5</v>
      </c>
      <c r="HZ30" s="4">
        <v>14</v>
      </c>
      <c r="IA30" s="4">
        <v>2.35</v>
      </c>
      <c r="IB30" s="4">
        <v>17.399999999999999</v>
      </c>
      <c r="IC30" s="4">
        <v>34.5</v>
      </c>
      <c r="ID30" s="4">
        <v>43.2</v>
      </c>
      <c r="IE30" s="4">
        <v>17.600000000000001</v>
      </c>
      <c r="IF30" s="4">
        <v>4.83</v>
      </c>
      <c r="IG30" s="4">
        <v>22.6</v>
      </c>
      <c r="IH30" s="4">
        <v>56.6</v>
      </c>
      <c r="II30" s="4">
        <v>10.7</v>
      </c>
      <c r="IJ30" s="4">
        <v>21.9</v>
      </c>
      <c r="IK30" s="4">
        <v>37.700000000000003</v>
      </c>
      <c r="IL30" s="4">
        <v>0.74</v>
      </c>
      <c r="IM30" s="4">
        <v>1.87</v>
      </c>
      <c r="IN30" s="4">
        <v>2.1</v>
      </c>
      <c r="IO30" s="4">
        <v>3.05</v>
      </c>
      <c r="IP30" s="4">
        <v>60.8</v>
      </c>
      <c r="IQ30" s="4">
        <v>36.6</v>
      </c>
      <c r="IR30" s="4">
        <v>2.5499999999999998</v>
      </c>
      <c r="IS30" s="4">
        <v>76.400000000000006</v>
      </c>
      <c r="IT30" s="4">
        <v>20.2</v>
      </c>
      <c r="IU30" s="4">
        <v>29.1</v>
      </c>
      <c r="IV30" s="4">
        <v>4.1900000000000004</v>
      </c>
      <c r="IW30" s="4">
        <v>63.2</v>
      </c>
      <c r="IX30" s="4">
        <v>1.26</v>
      </c>
      <c r="IY30" s="4">
        <v>16.3</v>
      </c>
      <c r="IZ30" s="4">
        <v>73.3</v>
      </c>
      <c r="JA30" s="4">
        <v>75.7</v>
      </c>
      <c r="JB30" s="4">
        <v>1.58</v>
      </c>
      <c r="JC30" s="4">
        <v>5.93</v>
      </c>
      <c r="JD30" s="4">
        <v>32.6</v>
      </c>
      <c r="JE30" s="4">
        <v>-66.599999999999994</v>
      </c>
      <c r="JF30" s="4">
        <v>165</v>
      </c>
      <c r="JG30" s="4">
        <v>185</v>
      </c>
      <c r="JH30" s="4">
        <v>285</v>
      </c>
      <c r="JI30" s="4">
        <v>398</v>
      </c>
      <c r="JJ30" s="4">
        <v>141</v>
      </c>
      <c r="JK30" s="4">
        <v>-9.2799999999999994</v>
      </c>
    </row>
    <row r="31" spans="2:271" x14ac:dyDescent="0.2">
      <c r="B31" t="s">
        <v>368</v>
      </c>
      <c r="E31">
        <v>25</v>
      </c>
      <c r="G31" t="s">
        <v>163</v>
      </c>
      <c r="I31" s="3"/>
      <c r="J31" s="3"/>
      <c r="K31" s="3"/>
      <c r="GX31">
        <v>25</v>
      </c>
      <c r="GY31" t="s">
        <v>368</v>
      </c>
      <c r="GZ31">
        <v>16</v>
      </c>
      <c r="HA31">
        <v>1.03</v>
      </c>
      <c r="HB31">
        <v>1.37</v>
      </c>
      <c r="HC31">
        <v>24.3</v>
      </c>
      <c r="HD31">
        <v>73.3</v>
      </c>
      <c r="HE31">
        <v>66.7</v>
      </c>
      <c r="HF31">
        <v>2.5999999999999999E-2</v>
      </c>
      <c r="HG31">
        <v>3.31</v>
      </c>
      <c r="HH31">
        <v>6.83</v>
      </c>
      <c r="HI31">
        <v>57.5</v>
      </c>
      <c r="HJ31">
        <v>26.3</v>
      </c>
      <c r="HK31">
        <v>5.79</v>
      </c>
      <c r="HL31">
        <v>54.3</v>
      </c>
      <c r="HM31">
        <v>21.3</v>
      </c>
      <c r="HN31">
        <v>17</v>
      </c>
      <c r="HO31">
        <v>31.4</v>
      </c>
      <c r="HP31">
        <v>59.2</v>
      </c>
      <c r="HQ31">
        <v>4.8</v>
      </c>
      <c r="HR31">
        <v>29.3</v>
      </c>
      <c r="HS31">
        <v>6.72</v>
      </c>
      <c r="HT31">
        <v>55.4</v>
      </c>
      <c r="HU31">
        <v>6.58</v>
      </c>
      <c r="HV31">
        <v>53.9</v>
      </c>
      <c r="HW31">
        <v>2.95</v>
      </c>
      <c r="HX31">
        <v>34.6</v>
      </c>
      <c r="HY31">
        <v>8.56</v>
      </c>
      <c r="HZ31">
        <v>29.6</v>
      </c>
      <c r="IA31">
        <v>2.34</v>
      </c>
      <c r="IB31">
        <v>11.6</v>
      </c>
      <c r="IC31">
        <v>30.4</v>
      </c>
      <c r="ID31">
        <v>55.7</v>
      </c>
      <c r="IE31">
        <v>13.8</v>
      </c>
      <c r="IF31">
        <v>2.17</v>
      </c>
      <c r="IG31">
        <v>17.3</v>
      </c>
      <c r="IH31">
        <v>65.599999999999994</v>
      </c>
      <c r="II31">
        <v>6.15</v>
      </c>
      <c r="IJ31">
        <v>18.8</v>
      </c>
      <c r="IK31">
        <v>19</v>
      </c>
      <c r="IL31">
        <v>0.9</v>
      </c>
      <c r="IM31">
        <v>0.59</v>
      </c>
      <c r="IN31">
        <v>11.7</v>
      </c>
      <c r="IO31">
        <v>2.69</v>
      </c>
      <c r="IP31">
        <v>85.8</v>
      </c>
      <c r="IQ31">
        <v>12.6</v>
      </c>
      <c r="IR31">
        <v>1.54</v>
      </c>
      <c r="IS31">
        <v>75.7</v>
      </c>
      <c r="IT31">
        <v>10.6</v>
      </c>
      <c r="IU31">
        <v>45.1</v>
      </c>
      <c r="IV31">
        <v>8</v>
      </c>
      <c r="IW31">
        <v>40.6</v>
      </c>
      <c r="IX31">
        <v>1.75</v>
      </c>
      <c r="IY31">
        <v>9.84</v>
      </c>
      <c r="IZ31">
        <v>70.2</v>
      </c>
      <c r="JA31">
        <v>90.5</v>
      </c>
      <c r="JB31">
        <v>0.67</v>
      </c>
      <c r="JC31">
        <v>2.66</v>
      </c>
      <c r="JD31">
        <v>33.4</v>
      </c>
      <c r="JE31">
        <v>20.8</v>
      </c>
      <c r="JF31">
        <v>540</v>
      </c>
      <c r="JG31">
        <v>575</v>
      </c>
      <c r="JH31">
        <v>413</v>
      </c>
      <c r="JI31">
        <v>455</v>
      </c>
      <c r="JJ31">
        <v>256</v>
      </c>
      <c r="JK31">
        <v>-11.3</v>
      </c>
    </row>
    <row r="32" spans="2:271" x14ac:dyDescent="0.2">
      <c r="B32" s="4" t="s">
        <v>395</v>
      </c>
      <c r="E32">
        <v>26</v>
      </c>
      <c r="G32" t="s">
        <v>163</v>
      </c>
      <c r="J32" s="3"/>
      <c r="K32" s="3"/>
      <c r="GX32">
        <v>26</v>
      </c>
      <c r="GY32" s="4" t="s">
        <v>395</v>
      </c>
      <c r="GZ32" s="4">
        <v>14</v>
      </c>
      <c r="HA32" s="4">
        <v>9.3699999999999992</v>
      </c>
      <c r="HB32" s="4">
        <v>0.7</v>
      </c>
      <c r="HC32" s="4">
        <v>59.4</v>
      </c>
      <c r="HD32" s="4">
        <v>30.4</v>
      </c>
      <c r="HE32" s="4">
        <v>70.3</v>
      </c>
      <c r="HF32" s="4">
        <v>0.19</v>
      </c>
      <c r="HG32" s="4">
        <v>3.94</v>
      </c>
      <c r="HH32" s="4">
        <v>18</v>
      </c>
      <c r="HI32" s="4">
        <v>49.1</v>
      </c>
      <c r="HJ32" s="4">
        <v>28.8</v>
      </c>
      <c r="HK32" s="4">
        <v>5.76</v>
      </c>
      <c r="HL32" s="4">
        <v>42.8</v>
      </c>
      <c r="HM32" s="4">
        <v>26.2</v>
      </c>
      <c r="HN32" s="4">
        <v>21.7</v>
      </c>
      <c r="HO32" s="4">
        <v>44.3</v>
      </c>
      <c r="HP32" s="4">
        <v>41.9</v>
      </c>
      <c r="HQ32" s="4">
        <v>13.7</v>
      </c>
      <c r="HR32" s="4">
        <v>24.6</v>
      </c>
      <c r="HS32" s="4">
        <v>19.899999999999999</v>
      </c>
      <c r="HT32" s="4">
        <v>44.1</v>
      </c>
      <c r="HU32" s="4">
        <v>6.27</v>
      </c>
      <c r="HV32" s="4">
        <v>46.7</v>
      </c>
      <c r="HW32" s="4">
        <v>4.88</v>
      </c>
      <c r="HX32" s="4">
        <v>30.8</v>
      </c>
      <c r="HY32" s="4">
        <v>17.7</v>
      </c>
      <c r="HZ32" s="4">
        <v>19.100000000000001</v>
      </c>
      <c r="IA32" s="4">
        <v>4.03</v>
      </c>
      <c r="IB32" s="4">
        <v>22</v>
      </c>
      <c r="IC32" s="4">
        <v>41.4</v>
      </c>
      <c r="ID32" s="4">
        <v>29.9</v>
      </c>
      <c r="IE32" s="4">
        <v>9.58</v>
      </c>
      <c r="IF32" s="4">
        <v>1.48</v>
      </c>
      <c r="IG32" s="4">
        <v>34.4</v>
      </c>
      <c r="IH32" s="4">
        <v>51.9</v>
      </c>
      <c r="II32" s="4">
        <v>7.64</v>
      </c>
      <c r="IJ32" s="4">
        <v>8.49</v>
      </c>
      <c r="IK32" s="4">
        <v>7.61</v>
      </c>
      <c r="IL32" s="4">
        <v>0.54</v>
      </c>
      <c r="IM32" s="4">
        <v>1.1499999999999999</v>
      </c>
      <c r="IN32" s="4">
        <v>1.29</v>
      </c>
      <c r="IO32" s="4">
        <v>2.58</v>
      </c>
      <c r="IP32" s="4">
        <v>63</v>
      </c>
      <c r="IQ32" s="4">
        <v>34.9</v>
      </c>
      <c r="IR32" s="4">
        <v>2.0099999999999998</v>
      </c>
      <c r="IS32" s="4">
        <v>74.900000000000006</v>
      </c>
      <c r="IT32" s="4">
        <v>22</v>
      </c>
      <c r="IU32" s="4">
        <v>74.599999999999994</v>
      </c>
      <c r="IV32" s="4">
        <v>4.1399999999999997</v>
      </c>
      <c r="IW32" s="4">
        <v>17.5</v>
      </c>
      <c r="IX32" s="4">
        <v>1.6</v>
      </c>
      <c r="IY32" s="4">
        <v>13.1</v>
      </c>
      <c r="IZ32" s="4">
        <v>61</v>
      </c>
      <c r="JA32" s="4">
        <v>73</v>
      </c>
      <c r="JB32" s="4">
        <v>1.48</v>
      </c>
      <c r="JC32" s="4">
        <v>4.24</v>
      </c>
      <c r="JD32" s="4">
        <v>7.44</v>
      </c>
      <c r="JE32" s="4">
        <v>-63.4</v>
      </c>
      <c r="JF32" s="4">
        <v>199</v>
      </c>
      <c r="JG32" s="4">
        <v>249</v>
      </c>
      <c r="JH32" s="4">
        <v>320</v>
      </c>
      <c r="JI32" s="4">
        <v>810</v>
      </c>
      <c r="JJ32" s="4">
        <v>236</v>
      </c>
      <c r="JK32" s="4">
        <v>-7.07</v>
      </c>
    </row>
    <row r="33" spans="2:271" x14ac:dyDescent="0.2">
      <c r="B33" t="s">
        <v>378</v>
      </c>
      <c r="E33">
        <v>35</v>
      </c>
      <c r="G33" s="4" t="s">
        <v>169</v>
      </c>
      <c r="J33" s="3"/>
      <c r="K33" s="3"/>
      <c r="GX33">
        <v>35</v>
      </c>
      <c r="GY33" t="s">
        <v>378</v>
      </c>
      <c r="GZ33">
        <v>4.38</v>
      </c>
      <c r="HA33">
        <v>13.7</v>
      </c>
      <c r="HB33">
        <v>0.18</v>
      </c>
      <c r="HC33">
        <v>56.7</v>
      </c>
      <c r="HD33">
        <v>29.4</v>
      </c>
      <c r="HE33">
        <v>73.5</v>
      </c>
      <c r="HF33">
        <v>0.05</v>
      </c>
      <c r="HG33">
        <v>2.73</v>
      </c>
      <c r="HH33">
        <v>5.26</v>
      </c>
      <c r="HI33">
        <v>66.099999999999994</v>
      </c>
      <c r="HJ33">
        <v>46.5</v>
      </c>
      <c r="HK33">
        <v>5.43</v>
      </c>
      <c r="HL33">
        <v>60.8</v>
      </c>
      <c r="HM33">
        <v>24.6</v>
      </c>
      <c r="HN33">
        <v>8.34</v>
      </c>
      <c r="HO33">
        <v>26.6</v>
      </c>
      <c r="HP33">
        <v>25.8</v>
      </c>
      <c r="HQ33">
        <v>23.9</v>
      </c>
      <c r="HR33">
        <v>32.799999999999997</v>
      </c>
      <c r="HS33">
        <v>17.5</v>
      </c>
      <c r="HT33">
        <v>61</v>
      </c>
      <c r="HU33">
        <v>6.07</v>
      </c>
      <c r="HV33">
        <v>25.3</v>
      </c>
      <c r="HW33">
        <v>11.9</v>
      </c>
      <c r="HX33">
        <v>40.5</v>
      </c>
      <c r="HY33">
        <v>22.4</v>
      </c>
      <c r="HZ33">
        <v>18.5</v>
      </c>
      <c r="IA33">
        <v>3.83</v>
      </c>
      <c r="IB33">
        <v>6.23</v>
      </c>
      <c r="IC33">
        <v>12.5</v>
      </c>
      <c r="ID33">
        <v>77.5</v>
      </c>
      <c r="IE33">
        <v>19.399999999999999</v>
      </c>
      <c r="IF33">
        <v>4.38</v>
      </c>
      <c r="IG33">
        <v>14.4</v>
      </c>
      <c r="IH33">
        <v>77.2</v>
      </c>
      <c r="II33">
        <v>2.77</v>
      </c>
      <c r="IJ33">
        <v>6.91</v>
      </c>
      <c r="IK33">
        <v>23.1</v>
      </c>
      <c r="IL33">
        <v>0.4</v>
      </c>
      <c r="IM33">
        <v>1.79</v>
      </c>
      <c r="IN33">
        <v>5.61</v>
      </c>
      <c r="IO33">
        <v>4.12</v>
      </c>
      <c r="IP33">
        <v>84</v>
      </c>
      <c r="IQ33">
        <v>13.9</v>
      </c>
      <c r="IR33">
        <v>2</v>
      </c>
      <c r="IS33">
        <v>82.5</v>
      </c>
      <c r="IT33">
        <v>8.7100000000000009</v>
      </c>
      <c r="IU33">
        <v>61.8</v>
      </c>
      <c r="IV33">
        <v>4.99</v>
      </c>
      <c r="IW33">
        <v>29.9</v>
      </c>
      <c r="IX33">
        <v>0.4</v>
      </c>
      <c r="IY33">
        <v>6.92</v>
      </c>
      <c r="IZ33">
        <v>59.2</v>
      </c>
      <c r="JA33">
        <v>81.2</v>
      </c>
      <c r="JB33">
        <v>0.25</v>
      </c>
      <c r="JC33">
        <v>2.8</v>
      </c>
      <c r="JD33">
        <v>5.76</v>
      </c>
      <c r="JE33">
        <v>-47.8</v>
      </c>
      <c r="JF33">
        <v>304</v>
      </c>
      <c r="JG33">
        <v>519</v>
      </c>
      <c r="JH33">
        <v>296</v>
      </c>
      <c r="JI33">
        <v>727</v>
      </c>
      <c r="JJ33">
        <v>165</v>
      </c>
      <c r="JK33">
        <v>-92.4</v>
      </c>
    </row>
    <row r="34" spans="2:271" x14ac:dyDescent="0.2">
      <c r="B34" t="s">
        <v>369</v>
      </c>
      <c r="E34">
        <v>49</v>
      </c>
      <c r="G34" t="s">
        <v>163</v>
      </c>
      <c r="J34" s="3"/>
      <c r="K34" s="3"/>
      <c r="GX34">
        <v>49</v>
      </c>
      <c r="GY34" t="s">
        <v>369</v>
      </c>
      <c r="GZ34">
        <v>15.3</v>
      </c>
      <c r="HA34">
        <v>7.66</v>
      </c>
      <c r="HB34">
        <v>0.1</v>
      </c>
      <c r="HC34">
        <v>54</v>
      </c>
      <c r="HD34">
        <v>38.200000000000003</v>
      </c>
      <c r="HE34">
        <v>54.6</v>
      </c>
      <c r="HF34">
        <v>0.14000000000000001</v>
      </c>
      <c r="HG34">
        <v>10.199999999999999</v>
      </c>
      <c r="HH34">
        <v>4.22</v>
      </c>
      <c r="HI34">
        <v>44.4</v>
      </c>
      <c r="HJ34">
        <v>27</v>
      </c>
      <c r="HK34">
        <v>8.14</v>
      </c>
      <c r="HL34">
        <v>21.6</v>
      </c>
      <c r="HM34">
        <v>40.700000000000003</v>
      </c>
      <c r="HN34">
        <v>27.9</v>
      </c>
      <c r="HO34">
        <v>54.3</v>
      </c>
      <c r="HP34">
        <v>74.8</v>
      </c>
      <c r="HQ34">
        <v>0.92</v>
      </c>
      <c r="HR34">
        <v>20.5</v>
      </c>
      <c r="HS34">
        <v>3.83</v>
      </c>
      <c r="HT34">
        <v>18.899999999999999</v>
      </c>
      <c r="HU34">
        <v>13.4</v>
      </c>
      <c r="HV34">
        <v>71.900000000000006</v>
      </c>
      <c r="HW34">
        <v>0.28000000000000003</v>
      </c>
      <c r="HX34">
        <v>26.7</v>
      </c>
      <c r="HY34">
        <v>1.1599999999999999</v>
      </c>
      <c r="HZ34">
        <v>16</v>
      </c>
      <c r="IA34">
        <v>5.17</v>
      </c>
      <c r="IB34">
        <v>34.200000000000003</v>
      </c>
      <c r="IC34">
        <v>51.5</v>
      </c>
      <c r="ID34">
        <v>9.1199999999999992</v>
      </c>
      <c r="IE34">
        <v>19.600000000000001</v>
      </c>
      <c r="IF34">
        <v>2.72</v>
      </c>
      <c r="IG34">
        <v>14</v>
      </c>
      <c r="IH34">
        <v>67.599999999999994</v>
      </c>
      <c r="II34">
        <v>10.6</v>
      </c>
      <c r="IJ34">
        <v>9.99</v>
      </c>
      <c r="IK34">
        <v>16.2</v>
      </c>
      <c r="IL34">
        <v>0.8</v>
      </c>
      <c r="IM34">
        <v>1.67</v>
      </c>
      <c r="IN34">
        <v>5.89</v>
      </c>
      <c r="IO34">
        <v>5.86</v>
      </c>
      <c r="IP34">
        <v>80.8</v>
      </c>
      <c r="IQ34">
        <v>17.8</v>
      </c>
      <c r="IR34">
        <v>1.32</v>
      </c>
      <c r="IS34">
        <v>72.5</v>
      </c>
      <c r="IT34">
        <v>20.5</v>
      </c>
      <c r="IU34">
        <v>55</v>
      </c>
      <c r="IV34">
        <v>7.43</v>
      </c>
      <c r="IW34">
        <v>27.1</v>
      </c>
      <c r="IX34">
        <v>6.55</v>
      </c>
      <c r="IY34">
        <v>8.9</v>
      </c>
      <c r="IZ34">
        <v>37.1</v>
      </c>
      <c r="JA34">
        <v>51.5</v>
      </c>
      <c r="JB34">
        <v>0.85</v>
      </c>
      <c r="JC34">
        <v>2.34</v>
      </c>
      <c r="JD34">
        <v>6.31</v>
      </c>
      <c r="JE34">
        <v>179</v>
      </c>
      <c r="JF34">
        <v>558</v>
      </c>
      <c r="JG34">
        <v>681</v>
      </c>
      <c r="JH34">
        <v>575</v>
      </c>
      <c r="JI34">
        <v>776</v>
      </c>
      <c r="JJ34">
        <v>510</v>
      </c>
      <c r="JK34">
        <v>326</v>
      </c>
    </row>
    <row r="35" spans="2:271" x14ac:dyDescent="0.2">
      <c r="B35" s="4" t="s">
        <v>400</v>
      </c>
      <c r="E35">
        <v>35</v>
      </c>
      <c r="G35" t="s">
        <v>163</v>
      </c>
      <c r="J35" s="3"/>
      <c r="K35" s="3"/>
      <c r="GX35">
        <v>35</v>
      </c>
      <c r="GY35" s="4" t="s">
        <v>400</v>
      </c>
      <c r="GZ35" s="4">
        <v>8.6300000000000008</v>
      </c>
      <c r="HA35" s="4">
        <v>4.8499999999999996</v>
      </c>
      <c r="HB35" s="4">
        <v>0.43</v>
      </c>
      <c r="HC35" s="4">
        <v>30.2</v>
      </c>
      <c r="HD35" s="4">
        <v>61.5</v>
      </c>
      <c r="HE35" s="4">
        <v>73.900000000000006</v>
      </c>
      <c r="HF35" s="16">
        <v>8.1799999999999998E-3</v>
      </c>
      <c r="HG35" s="4">
        <v>4.34</v>
      </c>
      <c r="HH35" s="4">
        <v>2.17</v>
      </c>
      <c r="HI35" s="4">
        <v>68.2</v>
      </c>
      <c r="HJ35" s="4">
        <v>40.6</v>
      </c>
      <c r="HK35" s="4">
        <v>7.69</v>
      </c>
      <c r="HL35" s="4">
        <v>58.3</v>
      </c>
      <c r="HM35" s="4">
        <v>21.6</v>
      </c>
      <c r="HN35" s="4">
        <v>6.11</v>
      </c>
      <c r="HO35" s="4">
        <v>22.4</v>
      </c>
      <c r="HP35" s="4">
        <v>54.1</v>
      </c>
      <c r="HQ35" s="4">
        <v>10.7</v>
      </c>
      <c r="HR35" s="4">
        <v>21.8</v>
      </c>
      <c r="HS35" s="4">
        <v>13.3</v>
      </c>
      <c r="HT35" s="4">
        <v>59.7</v>
      </c>
      <c r="HU35" s="4">
        <v>10.1</v>
      </c>
      <c r="HV35" s="4">
        <v>37.1</v>
      </c>
      <c r="HW35" s="4">
        <v>9.52</v>
      </c>
      <c r="HX35" s="4">
        <v>28.3</v>
      </c>
      <c r="HY35" s="4">
        <v>25.1</v>
      </c>
      <c r="HZ35" s="4">
        <v>27</v>
      </c>
      <c r="IA35" s="4">
        <v>4.0599999999999996</v>
      </c>
      <c r="IB35" s="4">
        <v>4.6399999999999997</v>
      </c>
      <c r="IC35" s="4">
        <v>23</v>
      </c>
      <c r="ID35" s="4">
        <v>67</v>
      </c>
      <c r="IE35" s="4">
        <v>15.5</v>
      </c>
      <c r="IF35" s="4">
        <v>3.42</v>
      </c>
      <c r="IG35" s="4">
        <v>12</v>
      </c>
      <c r="IH35" s="4">
        <v>65.7</v>
      </c>
      <c r="II35" s="4">
        <v>12</v>
      </c>
      <c r="IJ35" s="4">
        <v>11.1</v>
      </c>
      <c r="IK35" s="4">
        <v>16</v>
      </c>
      <c r="IL35" s="4">
        <v>0.53</v>
      </c>
      <c r="IM35" s="4">
        <v>0.95</v>
      </c>
      <c r="IN35" s="4">
        <v>1.65</v>
      </c>
      <c r="IO35" s="4">
        <v>10.4</v>
      </c>
      <c r="IP35" s="4">
        <v>47</v>
      </c>
      <c r="IQ35" s="4">
        <v>51.4</v>
      </c>
      <c r="IR35" s="4">
        <v>1.5</v>
      </c>
      <c r="IS35" s="4">
        <v>59.1</v>
      </c>
      <c r="IT35" s="4">
        <v>30</v>
      </c>
      <c r="IU35" s="4">
        <v>54.9</v>
      </c>
      <c r="IV35" s="4">
        <v>3.66</v>
      </c>
      <c r="IW35" s="4">
        <v>31</v>
      </c>
      <c r="IX35" s="4">
        <v>0.21</v>
      </c>
      <c r="IY35" s="4">
        <v>5.67</v>
      </c>
      <c r="IZ35" s="4">
        <v>52.7</v>
      </c>
      <c r="JA35" s="4">
        <v>89</v>
      </c>
      <c r="JB35" s="4">
        <v>0.3</v>
      </c>
      <c r="JC35" s="4">
        <v>2.67</v>
      </c>
      <c r="JD35" s="4">
        <v>35.1</v>
      </c>
      <c r="JE35" s="4">
        <v>-6.96</v>
      </c>
      <c r="JF35" s="4">
        <v>294</v>
      </c>
      <c r="JG35" s="4">
        <v>354</v>
      </c>
      <c r="JH35" s="4">
        <v>307</v>
      </c>
      <c r="JI35" s="4">
        <v>426</v>
      </c>
      <c r="JJ35" s="4">
        <v>107</v>
      </c>
      <c r="JK35" s="4">
        <v>-12.9</v>
      </c>
    </row>
    <row r="36" spans="2:271" x14ac:dyDescent="0.2">
      <c r="B36" t="s">
        <v>359</v>
      </c>
      <c r="E36">
        <v>67</v>
      </c>
      <c r="G36" s="4" t="s">
        <v>169</v>
      </c>
      <c r="J36" s="3"/>
      <c r="K36" s="3"/>
      <c r="GX36">
        <v>67</v>
      </c>
      <c r="GY36" s="17" t="s">
        <v>359</v>
      </c>
      <c r="GZ36" s="17">
        <v>9.35</v>
      </c>
      <c r="HA36" s="17">
        <v>3.63</v>
      </c>
      <c r="HB36" s="17">
        <v>7.0999999999999994E-2</v>
      </c>
      <c r="HC36" s="17">
        <v>51.3</v>
      </c>
      <c r="HD36" s="17">
        <v>45</v>
      </c>
      <c r="HE36" s="17">
        <v>74.5</v>
      </c>
      <c r="HF36" s="17">
        <v>0.32</v>
      </c>
      <c r="HG36" s="17">
        <v>3.43</v>
      </c>
      <c r="HH36" s="17">
        <v>1.91</v>
      </c>
      <c r="HI36" s="17">
        <v>69.5</v>
      </c>
      <c r="HJ36" s="17">
        <v>47.6</v>
      </c>
      <c r="HK36" s="17">
        <v>5.93</v>
      </c>
      <c r="HL36" s="17">
        <v>57.9</v>
      </c>
      <c r="HM36" s="17">
        <v>22.3</v>
      </c>
      <c r="HN36" s="17">
        <v>11.1</v>
      </c>
      <c r="HO36" s="17">
        <v>30.6</v>
      </c>
      <c r="HP36" s="17">
        <v>51.5</v>
      </c>
      <c r="HQ36" s="17">
        <v>8.52</v>
      </c>
      <c r="HR36" s="17">
        <v>27.1</v>
      </c>
      <c r="HS36" s="17">
        <v>12.9</v>
      </c>
      <c r="HT36" s="17">
        <v>44</v>
      </c>
      <c r="HU36" s="17">
        <v>3.51</v>
      </c>
      <c r="HV36" s="17">
        <v>34.799999999999997</v>
      </c>
      <c r="HW36" s="17">
        <v>6.43</v>
      </c>
      <c r="HX36" s="17">
        <v>42.5</v>
      </c>
      <c r="HY36" s="17">
        <v>16.3</v>
      </c>
      <c r="HZ36" s="17">
        <v>15.4</v>
      </c>
      <c r="IA36" s="17">
        <v>4.2</v>
      </c>
      <c r="IB36" s="17">
        <v>29.3</v>
      </c>
      <c r="IC36" s="17">
        <v>29.8</v>
      </c>
      <c r="ID36" s="17">
        <v>36.700000000000003</v>
      </c>
      <c r="IE36" s="17">
        <v>14</v>
      </c>
      <c r="IF36" s="17">
        <v>3.79</v>
      </c>
      <c r="IG36" s="17">
        <v>57.2</v>
      </c>
      <c r="IH36" s="17">
        <v>26.3</v>
      </c>
      <c r="II36" s="17">
        <v>8.5500000000000007</v>
      </c>
      <c r="IJ36" s="17">
        <v>4.6399999999999997</v>
      </c>
      <c r="IK36" s="17">
        <v>13.2</v>
      </c>
      <c r="IL36" s="17">
        <v>0.86</v>
      </c>
      <c r="IM36" s="17">
        <v>2.81</v>
      </c>
      <c r="IN36" s="17">
        <v>1.03</v>
      </c>
      <c r="IO36" s="17">
        <v>3.79</v>
      </c>
      <c r="IP36" s="17">
        <v>59.8</v>
      </c>
      <c r="IQ36" s="17">
        <v>36.5</v>
      </c>
      <c r="IR36" s="17">
        <v>3.52</v>
      </c>
      <c r="IS36" s="17">
        <v>69.8</v>
      </c>
      <c r="IT36" s="17">
        <v>25.7</v>
      </c>
      <c r="IU36" s="17">
        <v>58.2</v>
      </c>
      <c r="IV36" s="17">
        <v>2.2999999999999998</v>
      </c>
      <c r="IW36" s="17">
        <v>20.5</v>
      </c>
      <c r="IX36" s="17">
        <v>0.37</v>
      </c>
      <c r="IY36" s="17">
        <v>3.4</v>
      </c>
      <c r="IZ36" s="17">
        <v>67.900000000000006</v>
      </c>
      <c r="JA36" s="17">
        <v>84.4</v>
      </c>
      <c r="JB36" s="17">
        <v>0.25</v>
      </c>
      <c r="JC36" s="17">
        <v>2.17</v>
      </c>
      <c r="JD36" s="17">
        <v>13.8</v>
      </c>
      <c r="JE36" s="17">
        <v>-51.1</v>
      </c>
      <c r="JF36" s="17">
        <v>231</v>
      </c>
      <c r="JG36" s="17">
        <v>389</v>
      </c>
      <c r="JH36" s="17">
        <v>274</v>
      </c>
      <c r="JI36" s="17">
        <v>228</v>
      </c>
      <c r="JJ36" s="17">
        <v>129</v>
      </c>
      <c r="JK36" s="17">
        <v>-6.9</v>
      </c>
    </row>
    <row r="37" spans="2:271" x14ac:dyDescent="0.2">
      <c r="B37" t="s">
        <v>385</v>
      </c>
      <c r="E37">
        <v>62</v>
      </c>
      <c r="G37" s="4" t="s">
        <v>169</v>
      </c>
      <c r="J37" s="3"/>
      <c r="K37" s="3"/>
      <c r="GX37">
        <v>62</v>
      </c>
      <c r="GY37" t="s">
        <v>385</v>
      </c>
      <c r="GZ37">
        <v>10.9</v>
      </c>
      <c r="HA37">
        <v>9.26</v>
      </c>
      <c r="HB37">
        <v>0.42</v>
      </c>
      <c r="HC37">
        <v>69.3</v>
      </c>
      <c r="HD37">
        <v>21</v>
      </c>
      <c r="HE37">
        <v>83</v>
      </c>
      <c r="HF37">
        <v>0.14000000000000001</v>
      </c>
      <c r="HG37">
        <v>7.29</v>
      </c>
      <c r="HH37">
        <v>2.0099999999999998</v>
      </c>
      <c r="HI37">
        <v>74.7</v>
      </c>
      <c r="HJ37">
        <v>54.6</v>
      </c>
      <c r="HK37">
        <v>6.93</v>
      </c>
      <c r="HL37">
        <v>45.2</v>
      </c>
      <c r="HM37">
        <v>30.5</v>
      </c>
      <c r="HN37">
        <v>15.2</v>
      </c>
      <c r="HO37">
        <v>35.700000000000003</v>
      </c>
      <c r="HP37">
        <v>23.4</v>
      </c>
      <c r="HQ37">
        <v>17.399999999999999</v>
      </c>
      <c r="HR37">
        <v>52</v>
      </c>
      <c r="HS37">
        <v>7.13</v>
      </c>
      <c r="HT37">
        <v>46.4</v>
      </c>
      <c r="HU37">
        <v>10.5</v>
      </c>
      <c r="HV37">
        <v>29</v>
      </c>
      <c r="HW37">
        <v>7.73</v>
      </c>
      <c r="HX37">
        <v>43.6</v>
      </c>
      <c r="HY37">
        <v>19.7</v>
      </c>
      <c r="HZ37">
        <v>18.5</v>
      </c>
      <c r="IA37">
        <v>9.82</v>
      </c>
      <c r="IB37">
        <v>16.2</v>
      </c>
      <c r="IC37">
        <v>12.7</v>
      </c>
      <c r="ID37">
        <v>61.1</v>
      </c>
      <c r="IE37">
        <v>7.11</v>
      </c>
      <c r="IF37">
        <v>10.5</v>
      </c>
      <c r="IG37">
        <v>17.100000000000001</v>
      </c>
      <c r="IH37">
        <v>57.1</v>
      </c>
      <c r="II37">
        <v>10.4</v>
      </c>
      <c r="IJ37">
        <v>15.7</v>
      </c>
      <c r="IK37">
        <v>14.4</v>
      </c>
      <c r="IL37">
        <v>0.72</v>
      </c>
      <c r="IM37">
        <v>1.3</v>
      </c>
      <c r="IN37">
        <v>1.38</v>
      </c>
      <c r="IO37">
        <v>9.1300000000000008</v>
      </c>
      <c r="IP37">
        <v>92.6</v>
      </c>
      <c r="IQ37">
        <v>5.48</v>
      </c>
      <c r="IR37">
        <v>1.6</v>
      </c>
      <c r="IS37">
        <v>87.3</v>
      </c>
      <c r="IT37">
        <v>2.62</v>
      </c>
      <c r="IU37">
        <v>43</v>
      </c>
      <c r="IV37">
        <v>16.8</v>
      </c>
      <c r="IW37">
        <v>36.6</v>
      </c>
      <c r="IX37">
        <v>1.52</v>
      </c>
      <c r="IY37">
        <v>13.3</v>
      </c>
      <c r="IZ37">
        <v>42</v>
      </c>
      <c r="JA37">
        <v>49.6</v>
      </c>
      <c r="JB37">
        <v>0.6</v>
      </c>
      <c r="JC37">
        <v>2.3199999999999998</v>
      </c>
      <c r="JD37">
        <v>5.76</v>
      </c>
      <c r="JE37">
        <v>28.2</v>
      </c>
      <c r="JF37">
        <v>386</v>
      </c>
      <c r="JG37">
        <v>504</v>
      </c>
      <c r="JH37">
        <v>376</v>
      </c>
      <c r="JI37">
        <v>583</v>
      </c>
      <c r="JJ37">
        <v>379</v>
      </c>
      <c r="JK37">
        <v>9.5500000000000007</v>
      </c>
    </row>
    <row r="38" spans="2:271" x14ac:dyDescent="0.2">
      <c r="B38" t="s">
        <v>370</v>
      </c>
      <c r="E38">
        <v>48</v>
      </c>
      <c r="G38" t="s">
        <v>163</v>
      </c>
      <c r="J38" s="3"/>
      <c r="K38" s="3"/>
      <c r="GX38">
        <v>48</v>
      </c>
      <c r="GY38" t="s">
        <v>370</v>
      </c>
      <c r="GZ38">
        <v>12</v>
      </c>
      <c r="HA38">
        <v>9.4700000000000006</v>
      </c>
      <c r="HB38">
        <v>0.09</v>
      </c>
      <c r="HC38">
        <v>39.700000000000003</v>
      </c>
      <c r="HD38">
        <v>50.7</v>
      </c>
      <c r="HE38">
        <v>77.5</v>
      </c>
      <c r="HF38">
        <v>0.22</v>
      </c>
      <c r="HG38">
        <v>1.18</v>
      </c>
      <c r="HH38">
        <v>3.03</v>
      </c>
      <c r="HI38">
        <v>73.3</v>
      </c>
      <c r="HJ38">
        <v>41.3</v>
      </c>
      <c r="HK38">
        <v>5.68</v>
      </c>
      <c r="HL38">
        <v>35.6</v>
      </c>
      <c r="HM38">
        <v>34.299999999999997</v>
      </c>
      <c r="HN38">
        <v>24.9</v>
      </c>
      <c r="HO38">
        <v>54.5</v>
      </c>
      <c r="HP38">
        <v>46.3</v>
      </c>
      <c r="HQ38">
        <v>13.4</v>
      </c>
      <c r="HR38">
        <v>20.2</v>
      </c>
      <c r="HS38">
        <v>20</v>
      </c>
      <c r="HT38">
        <v>34.200000000000003</v>
      </c>
      <c r="HU38">
        <v>4.0199999999999996</v>
      </c>
      <c r="HV38">
        <v>52.6</v>
      </c>
      <c r="HW38">
        <v>3.72</v>
      </c>
      <c r="HX38">
        <v>29.7</v>
      </c>
      <c r="HY38">
        <v>14</v>
      </c>
      <c r="HZ38">
        <v>30.4</v>
      </c>
      <c r="IA38">
        <v>3.8</v>
      </c>
      <c r="IB38">
        <v>20</v>
      </c>
      <c r="IC38">
        <v>42.8</v>
      </c>
      <c r="ID38">
        <v>33.4</v>
      </c>
      <c r="IE38">
        <v>6.43</v>
      </c>
      <c r="IF38">
        <v>2.0299999999999998</v>
      </c>
      <c r="IG38">
        <v>38.799999999999997</v>
      </c>
      <c r="IH38">
        <v>49.7</v>
      </c>
      <c r="II38">
        <v>2.42</v>
      </c>
      <c r="IJ38">
        <v>5.73</v>
      </c>
      <c r="IK38">
        <v>11.4</v>
      </c>
      <c r="IL38">
        <v>0.8</v>
      </c>
      <c r="IM38">
        <v>0.52</v>
      </c>
      <c r="IN38">
        <v>26.3</v>
      </c>
      <c r="IO38">
        <v>5.76</v>
      </c>
      <c r="IP38">
        <v>80.900000000000006</v>
      </c>
      <c r="IQ38">
        <v>17.3</v>
      </c>
      <c r="IR38">
        <v>1.53</v>
      </c>
      <c r="IS38">
        <v>59.5</v>
      </c>
      <c r="IT38">
        <v>8.8800000000000008</v>
      </c>
      <c r="IU38">
        <v>62.6</v>
      </c>
      <c r="IV38">
        <v>11.7</v>
      </c>
      <c r="IW38">
        <v>19.399999999999999</v>
      </c>
      <c r="IX38">
        <v>1.22</v>
      </c>
      <c r="IY38">
        <v>4.28</v>
      </c>
      <c r="IZ38">
        <v>62.9</v>
      </c>
      <c r="JA38">
        <v>79.2</v>
      </c>
      <c r="JB38">
        <v>0.25</v>
      </c>
      <c r="JC38">
        <v>2.19</v>
      </c>
      <c r="JD38">
        <v>6.58</v>
      </c>
      <c r="JE38">
        <v>34</v>
      </c>
      <c r="JF38">
        <v>281</v>
      </c>
      <c r="JG38">
        <v>369</v>
      </c>
      <c r="JH38">
        <v>216</v>
      </c>
      <c r="JI38">
        <v>384</v>
      </c>
      <c r="JJ38">
        <v>136</v>
      </c>
      <c r="JK38">
        <v>-8.85</v>
      </c>
    </row>
    <row r="39" spans="2:271" x14ac:dyDescent="0.2">
      <c r="B39" t="s">
        <v>360</v>
      </c>
      <c r="E39">
        <v>29</v>
      </c>
      <c r="G39" s="4" t="s">
        <v>169</v>
      </c>
      <c r="J39" s="3"/>
      <c r="K39" s="3"/>
      <c r="GX39">
        <v>29</v>
      </c>
      <c r="GY39" t="s">
        <v>360</v>
      </c>
      <c r="GZ39">
        <v>10.7</v>
      </c>
      <c r="HA39">
        <v>13.3</v>
      </c>
      <c r="HB39">
        <v>3.4000000000000002E-2</v>
      </c>
      <c r="HC39">
        <v>47.7</v>
      </c>
      <c r="HD39">
        <v>39</v>
      </c>
      <c r="HE39">
        <v>74</v>
      </c>
      <c r="HF39">
        <v>7.0000000000000007E-2</v>
      </c>
      <c r="HG39">
        <v>1.48</v>
      </c>
      <c r="HH39">
        <v>3.16</v>
      </c>
      <c r="HI39">
        <v>69.599999999999994</v>
      </c>
      <c r="HJ39">
        <v>56.4</v>
      </c>
      <c r="HK39">
        <v>8.48</v>
      </c>
      <c r="HL39">
        <v>45.2</v>
      </c>
      <c r="HM39">
        <v>36</v>
      </c>
      <c r="HN39">
        <v>8.24</v>
      </c>
      <c r="HO39">
        <v>37.799999999999997</v>
      </c>
      <c r="HP39">
        <v>46</v>
      </c>
      <c r="HQ39">
        <v>9.2100000000000009</v>
      </c>
      <c r="HR39">
        <v>31.2</v>
      </c>
      <c r="HS39">
        <v>13.6</v>
      </c>
      <c r="HT39">
        <v>47</v>
      </c>
      <c r="HU39">
        <v>7.57</v>
      </c>
      <c r="HV39">
        <v>40.5</v>
      </c>
      <c r="HW39">
        <v>2.33</v>
      </c>
      <c r="HX39">
        <v>51.1</v>
      </c>
      <c r="HY39">
        <v>6.14</v>
      </c>
      <c r="HZ39">
        <v>12.4</v>
      </c>
      <c r="IA39">
        <v>8.16</v>
      </c>
      <c r="IB39">
        <v>24.6</v>
      </c>
      <c r="IC39">
        <v>13.9</v>
      </c>
      <c r="ID39">
        <v>53.2</v>
      </c>
      <c r="IE39">
        <v>11.5</v>
      </c>
      <c r="IF39">
        <v>5.75</v>
      </c>
      <c r="IG39">
        <v>29.2</v>
      </c>
      <c r="IH39">
        <v>60.4</v>
      </c>
      <c r="II39">
        <v>3.54</v>
      </c>
      <c r="IJ39">
        <v>9.49</v>
      </c>
      <c r="IK39">
        <v>15.4</v>
      </c>
      <c r="IL39">
        <v>0.56000000000000005</v>
      </c>
      <c r="IM39">
        <v>1.0900000000000001</v>
      </c>
      <c r="IN39">
        <v>1.47</v>
      </c>
      <c r="IO39">
        <v>2</v>
      </c>
      <c r="IP39">
        <v>63.6</v>
      </c>
      <c r="IQ39">
        <v>35</v>
      </c>
      <c r="IR39">
        <v>1.37</v>
      </c>
      <c r="IS39">
        <v>85.9</v>
      </c>
      <c r="IT39">
        <v>10.9</v>
      </c>
      <c r="IU39">
        <v>59.9</v>
      </c>
      <c r="IV39">
        <v>2.69</v>
      </c>
      <c r="IW39">
        <v>26.2</v>
      </c>
      <c r="IX39">
        <v>0.25</v>
      </c>
      <c r="IY39">
        <v>3.3</v>
      </c>
      <c r="IZ39">
        <v>35.299999999999997</v>
      </c>
      <c r="JA39">
        <v>46.6</v>
      </c>
      <c r="JB39">
        <v>0.2</v>
      </c>
      <c r="JC39">
        <v>2.1</v>
      </c>
      <c r="JD39">
        <v>4.07</v>
      </c>
      <c r="JE39">
        <v>-51.4</v>
      </c>
      <c r="JF39">
        <v>80.7</v>
      </c>
      <c r="JG39">
        <v>220</v>
      </c>
      <c r="JH39">
        <v>207</v>
      </c>
      <c r="JI39">
        <v>628</v>
      </c>
      <c r="JJ39">
        <v>229</v>
      </c>
      <c r="JK39">
        <v>-13.9</v>
      </c>
    </row>
    <row r="40" spans="2:271" x14ac:dyDescent="0.2">
      <c r="B40" t="s">
        <v>386</v>
      </c>
      <c r="E40">
        <v>52</v>
      </c>
      <c r="G40" s="4" t="s">
        <v>169</v>
      </c>
      <c r="J40" s="3"/>
      <c r="K40" s="3"/>
      <c r="GX40">
        <v>52</v>
      </c>
      <c r="GY40" t="s">
        <v>386</v>
      </c>
      <c r="GZ40">
        <v>15.7</v>
      </c>
      <c r="HA40">
        <v>3.41</v>
      </c>
      <c r="HB40">
        <v>0.01</v>
      </c>
      <c r="HC40">
        <v>56.3</v>
      </c>
      <c r="HD40">
        <v>40.299999999999997</v>
      </c>
      <c r="HE40">
        <v>73.900000000000006</v>
      </c>
      <c r="HF40">
        <v>2.8000000000000001E-2</v>
      </c>
      <c r="HG40">
        <v>11.4</v>
      </c>
      <c r="HH40">
        <v>1.18</v>
      </c>
      <c r="HI40">
        <v>64.2</v>
      </c>
      <c r="HJ40">
        <v>42.6</v>
      </c>
      <c r="HK40">
        <v>5.61</v>
      </c>
      <c r="HL40">
        <v>47.3</v>
      </c>
      <c r="HM40">
        <v>35.5</v>
      </c>
      <c r="HN40">
        <v>9.17</v>
      </c>
      <c r="HO40">
        <v>35.5</v>
      </c>
      <c r="HP40">
        <v>28.9</v>
      </c>
      <c r="HQ40">
        <v>13.3</v>
      </c>
      <c r="HR40">
        <v>50.8</v>
      </c>
      <c r="HS40">
        <v>6.93</v>
      </c>
      <c r="HT40">
        <v>48.8</v>
      </c>
      <c r="HU40">
        <v>10.199999999999999</v>
      </c>
      <c r="HV40">
        <v>45.8</v>
      </c>
      <c r="HW40">
        <v>2.4300000000000002</v>
      </c>
      <c r="HX40">
        <v>41.9</v>
      </c>
      <c r="HY40">
        <v>9.89</v>
      </c>
      <c r="HZ40">
        <v>18.600000000000001</v>
      </c>
      <c r="IA40">
        <v>8.91</v>
      </c>
      <c r="IB40">
        <v>16.2</v>
      </c>
      <c r="IC40">
        <v>14.2</v>
      </c>
      <c r="ID40">
        <v>60.5</v>
      </c>
      <c r="IE40">
        <v>8.39</v>
      </c>
      <c r="IF40">
        <v>2.96</v>
      </c>
      <c r="IG40">
        <v>32.299999999999997</v>
      </c>
      <c r="IH40">
        <v>43</v>
      </c>
      <c r="II40">
        <v>11</v>
      </c>
      <c r="IJ40">
        <v>10.8</v>
      </c>
      <c r="IK40">
        <v>13</v>
      </c>
      <c r="IL40">
        <v>0.52</v>
      </c>
      <c r="IM40">
        <v>1.07</v>
      </c>
      <c r="IN40">
        <v>1.33</v>
      </c>
      <c r="IO40">
        <v>6.97</v>
      </c>
      <c r="IP40">
        <v>76</v>
      </c>
      <c r="IQ40">
        <v>22.6</v>
      </c>
      <c r="IR40">
        <v>1.2</v>
      </c>
      <c r="IS40">
        <v>74.7</v>
      </c>
      <c r="IT40">
        <v>16.899999999999999</v>
      </c>
      <c r="IU40">
        <v>61.7</v>
      </c>
      <c r="IV40">
        <v>6.91</v>
      </c>
      <c r="IW40">
        <v>24.4</v>
      </c>
      <c r="IX40">
        <v>0.43</v>
      </c>
      <c r="IY40">
        <v>3.53</v>
      </c>
      <c r="IZ40">
        <v>53.9</v>
      </c>
      <c r="JA40">
        <v>52.3</v>
      </c>
      <c r="JB40">
        <v>0.26</v>
      </c>
      <c r="JC40">
        <v>0.78</v>
      </c>
      <c r="JD40">
        <v>2.2400000000000002</v>
      </c>
      <c r="JE40">
        <v>24.6</v>
      </c>
      <c r="JF40">
        <v>328</v>
      </c>
      <c r="JG40">
        <v>422</v>
      </c>
      <c r="JH40">
        <v>523</v>
      </c>
      <c r="JI40">
        <v>1107</v>
      </c>
      <c r="JJ40">
        <v>473</v>
      </c>
      <c r="JK40">
        <v>3.99</v>
      </c>
    </row>
    <row r="41" spans="2:271" x14ac:dyDescent="0.2">
      <c r="B41" t="s">
        <v>361</v>
      </c>
      <c r="E41">
        <v>29</v>
      </c>
      <c r="G41" t="s">
        <v>163</v>
      </c>
      <c r="J41" s="3"/>
      <c r="K41" s="3"/>
      <c r="GX41">
        <v>29</v>
      </c>
      <c r="GY41" t="s">
        <v>361</v>
      </c>
      <c r="GZ41">
        <v>6.99</v>
      </c>
      <c r="HA41">
        <v>3.34</v>
      </c>
      <c r="HB41" s="6">
        <v>8.8800000000000007E-3</v>
      </c>
      <c r="HC41">
        <v>31.8</v>
      </c>
      <c r="HD41">
        <v>64.8</v>
      </c>
      <c r="HE41">
        <v>70.900000000000006</v>
      </c>
      <c r="HF41">
        <v>6.5000000000000002E-2</v>
      </c>
      <c r="HG41">
        <v>1.98</v>
      </c>
      <c r="HH41">
        <v>8.1</v>
      </c>
      <c r="HI41">
        <v>61.1</v>
      </c>
      <c r="HJ41">
        <v>40.6</v>
      </c>
      <c r="HK41">
        <v>7.27</v>
      </c>
      <c r="HL41">
        <v>56.3</v>
      </c>
      <c r="HM41">
        <v>22.7</v>
      </c>
      <c r="HN41">
        <v>11.9</v>
      </c>
      <c r="HO41">
        <v>30.7</v>
      </c>
      <c r="HP41">
        <v>32.5</v>
      </c>
      <c r="HQ41">
        <v>14.9</v>
      </c>
      <c r="HR41">
        <v>43</v>
      </c>
      <c r="HS41">
        <v>9.6199999999999992</v>
      </c>
      <c r="HT41">
        <v>56.6</v>
      </c>
      <c r="HU41">
        <v>4.93</v>
      </c>
      <c r="HV41">
        <v>39.6</v>
      </c>
      <c r="HW41">
        <v>3.57</v>
      </c>
      <c r="HX41">
        <v>50</v>
      </c>
      <c r="HY41">
        <v>6.85</v>
      </c>
      <c r="HZ41">
        <v>19.8</v>
      </c>
      <c r="IA41">
        <v>3.81</v>
      </c>
      <c r="IB41">
        <v>11</v>
      </c>
      <c r="IC41">
        <v>13.5</v>
      </c>
      <c r="ID41">
        <v>71.599999999999994</v>
      </c>
      <c r="IE41">
        <v>19</v>
      </c>
      <c r="IF41">
        <v>1.83</v>
      </c>
      <c r="IG41">
        <v>27.9</v>
      </c>
      <c r="IH41">
        <v>55.6</v>
      </c>
      <c r="II41">
        <v>12</v>
      </c>
      <c r="IJ41">
        <v>8.0500000000000007</v>
      </c>
      <c r="IK41">
        <v>16.399999999999999</v>
      </c>
      <c r="IL41">
        <v>0.56999999999999995</v>
      </c>
      <c r="IM41">
        <v>1.32</v>
      </c>
      <c r="IN41">
        <v>0.92</v>
      </c>
      <c r="IO41">
        <v>1.9</v>
      </c>
      <c r="IP41">
        <v>52.2</v>
      </c>
      <c r="IQ41">
        <v>45.6</v>
      </c>
      <c r="IR41">
        <v>2.0499999999999998</v>
      </c>
      <c r="IS41">
        <v>81.099999999999994</v>
      </c>
      <c r="IT41">
        <v>16.5</v>
      </c>
      <c r="IU41">
        <v>58.8</v>
      </c>
      <c r="IV41">
        <v>3.98</v>
      </c>
      <c r="IW41">
        <v>27</v>
      </c>
      <c r="IX41">
        <v>0.25</v>
      </c>
      <c r="IY41">
        <v>4.45</v>
      </c>
      <c r="IZ41">
        <v>35.9</v>
      </c>
      <c r="JA41">
        <v>47.6</v>
      </c>
      <c r="JB41">
        <v>0.19</v>
      </c>
      <c r="JC41">
        <v>3.57</v>
      </c>
      <c r="JD41">
        <v>5.68</v>
      </c>
      <c r="JE41">
        <v>-52.7</v>
      </c>
      <c r="JF41">
        <v>195</v>
      </c>
      <c r="JG41">
        <v>291</v>
      </c>
      <c r="JH41">
        <v>214</v>
      </c>
      <c r="JI41">
        <v>365</v>
      </c>
      <c r="JJ41">
        <v>176</v>
      </c>
      <c r="JK41">
        <v>2.41</v>
      </c>
    </row>
    <row r="42" spans="2:271" x14ac:dyDescent="0.2">
      <c r="B42" s="4" t="s">
        <v>396</v>
      </c>
      <c r="E42">
        <v>30</v>
      </c>
      <c r="G42" t="s">
        <v>163</v>
      </c>
      <c r="J42" s="3"/>
      <c r="K42" s="3"/>
      <c r="GX42">
        <v>30</v>
      </c>
      <c r="GY42" s="4" t="s">
        <v>396</v>
      </c>
      <c r="GZ42" s="4">
        <v>18.2</v>
      </c>
      <c r="HA42" s="4">
        <v>2.27</v>
      </c>
      <c r="HB42" s="4">
        <v>0.26</v>
      </c>
      <c r="HC42" s="4">
        <v>14.8</v>
      </c>
      <c r="HD42" s="4">
        <v>82.7</v>
      </c>
      <c r="HE42" s="4">
        <v>67.7</v>
      </c>
      <c r="HF42" s="4">
        <v>6.9000000000000006E-2</v>
      </c>
      <c r="HG42" s="4">
        <v>1.39</v>
      </c>
      <c r="HH42" s="4">
        <v>5.87</v>
      </c>
      <c r="HI42" s="4">
        <v>60.3</v>
      </c>
      <c r="HJ42" s="4">
        <v>33.1</v>
      </c>
      <c r="HK42" s="4">
        <v>4.6900000000000004</v>
      </c>
      <c r="HL42" s="4">
        <v>55.3</v>
      </c>
      <c r="HM42" s="4">
        <v>11.5</v>
      </c>
      <c r="HN42" s="4">
        <v>23.2</v>
      </c>
      <c r="HO42" s="4">
        <v>32.6</v>
      </c>
      <c r="HP42" s="4">
        <v>30.2</v>
      </c>
      <c r="HQ42" s="4">
        <v>16.2</v>
      </c>
      <c r="HR42" s="4">
        <v>42</v>
      </c>
      <c r="HS42" s="4">
        <v>11.6</v>
      </c>
      <c r="HT42" s="4">
        <v>51</v>
      </c>
      <c r="HU42" s="4">
        <v>5.77</v>
      </c>
      <c r="HV42" s="4">
        <v>32.9</v>
      </c>
      <c r="HW42" s="4">
        <v>9.25</v>
      </c>
      <c r="HX42" s="4">
        <v>40.6</v>
      </c>
      <c r="HY42" s="4">
        <v>17.2</v>
      </c>
      <c r="HZ42" s="4">
        <v>25.7</v>
      </c>
      <c r="IA42" s="4">
        <v>3.67</v>
      </c>
      <c r="IB42" s="4">
        <v>15.9</v>
      </c>
      <c r="IC42" s="4">
        <v>56</v>
      </c>
      <c r="ID42" s="4">
        <v>21.6</v>
      </c>
      <c r="IE42" s="4">
        <v>6.4</v>
      </c>
      <c r="IF42" s="4">
        <v>4.75</v>
      </c>
      <c r="IG42" s="4">
        <v>23.5</v>
      </c>
      <c r="IH42" s="4">
        <v>53.5</v>
      </c>
      <c r="II42" s="4">
        <v>12.4</v>
      </c>
      <c r="IJ42" s="4">
        <v>15</v>
      </c>
      <c r="IK42" s="4">
        <v>20.100000000000001</v>
      </c>
      <c r="IL42" s="4">
        <v>1.03</v>
      </c>
      <c r="IM42" s="4">
        <v>3.48</v>
      </c>
      <c r="IN42" s="4">
        <v>1.84</v>
      </c>
      <c r="IO42" s="4">
        <v>4.17</v>
      </c>
      <c r="IP42" s="4">
        <v>67.400000000000006</v>
      </c>
      <c r="IQ42" s="4">
        <v>26.1</v>
      </c>
      <c r="IR42" s="4">
        <v>5.72</v>
      </c>
      <c r="IS42" s="4">
        <v>80.3</v>
      </c>
      <c r="IT42" s="4">
        <v>13.4</v>
      </c>
      <c r="IU42" s="4">
        <v>40.9</v>
      </c>
      <c r="IV42" s="4">
        <v>13.7</v>
      </c>
      <c r="IW42" s="4">
        <v>41.7</v>
      </c>
      <c r="IX42" s="4">
        <v>4.57</v>
      </c>
      <c r="IY42" s="4">
        <v>10.1</v>
      </c>
      <c r="IZ42" s="4">
        <v>63.7</v>
      </c>
      <c r="JA42" s="4">
        <v>68.599999999999994</v>
      </c>
      <c r="JB42" s="4">
        <v>1.91</v>
      </c>
      <c r="JC42" s="4">
        <v>2.9</v>
      </c>
      <c r="JD42" s="4">
        <v>24.2</v>
      </c>
      <c r="JE42" s="4">
        <v>-54</v>
      </c>
      <c r="JF42" s="4">
        <v>232</v>
      </c>
      <c r="JG42" s="4">
        <v>201</v>
      </c>
      <c r="JH42" s="4">
        <v>233</v>
      </c>
      <c r="JI42" s="4">
        <v>480</v>
      </c>
      <c r="JJ42" s="4">
        <v>123</v>
      </c>
      <c r="JK42" s="4">
        <v>-8.06</v>
      </c>
    </row>
    <row r="43" spans="2:271" x14ac:dyDescent="0.2">
      <c r="B43" t="s">
        <v>358</v>
      </c>
      <c r="E43">
        <v>24</v>
      </c>
      <c r="G43" t="s">
        <v>163</v>
      </c>
      <c r="J43" s="3"/>
      <c r="K43" s="3"/>
      <c r="GX43">
        <v>24</v>
      </c>
      <c r="GY43" t="s">
        <v>358</v>
      </c>
      <c r="GZ43">
        <v>7.25</v>
      </c>
      <c r="HA43">
        <v>4.32</v>
      </c>
      <c r="HB43">
        <v>0.26</v>
      </c>
      <c r="HC43">
        <v>31.6</v>
      </c>
      <c r="HD43">
        <v>63.8</v>
      </c>
      <c r="HE43">
        <v>83.4</v>
      </c>
      <c r="HF43" s="6">
        <v>4.0299999999999997E-3</v>
      </c>
      <c r="HG43">
        <v>1.97</v>
      </c>
      <c r="HH43">
        <v>4.43</v>
      </c>
      <c r="HI43">
        <v>77.3</v>
      </c>
      <c r="HJ43">
        <v>42.3</v>
      </c>
      <c r="HK43">
        <v>6.33</v>
      </c>
      <c r="HL43">
        <v>38.6</v>
      </c>
      <c r="HM43">
        <v>30.9</v>
      </c>
      <c r="HN43">
        <v>23.7</v>
      </c>
      <c r="HO43">
        <v>44.5</v>
      </c>
      <c r="HP43">
        <v>70.900000000000006</v>
      </c>
      <c r="HQ43">
        <v>1.02</v>
      </c>
      <c r="HR43">
        <v>24.5</v>
      </c>
      <c r="HS43">
        <v>3.62</v>
      </c>
      <c r="HT43">
        <v>33.700000000000003</v>
      </c>
      <c r="HU43">
        <v>9.59</v>
      </c>
      <c r="HV43">
        <v>50.8</v>
      </c>
      <c r="HW43">
        <v>0.99</v>
      </c>
      <c r="HX43">
        <v>44.7</v>
      </c>
      <c r="HY43">
        <v>3.52</v>
      </c>
      <c r="HZ43">
        <v>33.799999999999997</v>
      </c>
      <c r="IA43">
        <v>5.56</v>
      </c>
      <c r="IB43">
        <v>26.3</v>
      </c>
      <c r="IC43">
        <v>35.9</v>
      </c>
      <c r="ID43">
        <v>32.1</v>
      </c>
      <c r="IE43">
        <v>7.03</v>
      </c>
      <c r="IF43">
        <v>3.47</v>
      </c>
      <c r="IG43">
        <v>42.7</v>
      </c>
      <c r="IH43">
        <v>51.4</v>
      </c>
      <c r="II43">
        <v>0.78</v>
      </c>
      <c r="IJ43">
        <v>10.1</v>
      </c>
      <c r="IK43">
        <v>26.8</v>
      </c>
      <c r="IL43">
        <v>0.54</v>
      </c>
      <c r="IM43">
        <v>4.0599999999999996</v>
      </c>
      <c r="IN43">
        <v>2.33</v>
      </c>
      <c r="IO43">
        <v>19.100000000000001</v>
      </c>
      <c r="IP43">
        <v>73.900000000000006</v>
      </c>
      <c r="IQ43">
        <v>0.26</v>
      </c>
      <c r="IR43">
        <v>4.72</v>
      </c>
      <c r="IS43">
        <v>61.5</v>
      </c>
      <c r="IT43">
        <v>14.4</v>
      </c>
      <c r="IU43">
        <v>50.9</v>
      </c>
      <c r="IV43">
        <v>4.37</v>
      </c>
      <c r="IW43">
        <v>38.4</v>
      </c>
      <c r="IX43">
        <v>0.71</v>
      </c>
      <c r="IY43">
        <v>6.88</v>
      </c>
      <c r="IZ43">
        <v>56.1</v>
      </c>
      <c r="JA43">
        <v>81.5</v>
      </c>
      <c r="JB43">
        <v>0.26</v>
      </c>
      <c r="JC43">
        <v>1.46</v>
      </c>
      <c r="JD43">
        <v>45.8</v>
      </c>
      <c r="JE43">
        <v>-120</v>
      </c>
      <c r="JF43">
        <v>155</v>
      </c>
      <c r="JG43">
        <v>210</v>
      </c>
      <c r="JH43">
        <v>306</v>
      </c>
      <c r="JI43">
        <v>288</v>
      </c>
      <c r="JJ43">
        <v>26.4</v>
      </c>
      <c r="JK43">
        <v>14.9</v>
      </c>
    </row>
    <row r="44" spans="2:271" x14ac:dyDescent="0.2">
      <c r="B44" t="s">
        <v>373</v>
      </c>
      <c r="E44">
        <v>29</v>
      </c>
      <c r="G44" t="s">
        <v>163</v>
      </c>
      <c r="J44" s="3"/>
      <c r="K44" s="3"/>
      <c r="GX44">
        <v>29</v>
      </c>
      <c r="GY44" t="s">
        <v>373</v>
      </c>
      <c r="GZ44">
        <v>13.7</v>
      </c>
      <c r="HA44">
        <v>3.38</v>
      </c>
      <c r="HB44">
        <v>0.21</v>
      </c>
      <c r="HC44">
        <v>23.6</v>
      </c>
      <c r="HD44">
        <v>72.8</v>
      </c>
      <c r="HE44">
        <v>57.2</v>
      </c>
      <c r="HF44">
        <v>2.1999999999999999E-2</v>
      </c>
      <c r="HG44">
        <v>4.6399999999999997</v>
      </c>
      <c r="HH44">
        <v>5.99</v>
      </c>
      <c r="HI44">
        <v>48.5</v>
      </c>
      <c r="HJ44">
        <v>29.9</v>
      </c>
      <c r="HK44">
        <v>9.58</v>
      </c>
      <c r="HL44">
        <v>61.7</v>
      </c>
      <c r="HM44">
        <v>17.7</v>
      </c>
      <c r="HN44">
        <v>6.52</v>
      </c>
      <c r="HO44">
        <v>18.3</v>
      </c>
      <c r="HP44">
        <v>30.8</v>
      </c>
      <c r="HQ44">
        <v>20</v>
      </c>
      <c r="HR44">
        <v>36.200000000000003</v>
      </c>
      <c r="HS44">
        <v>13</v>
      </c>
      <c r="HT44">
        <v>65</v>
      </c>
      <c r="HU44">
        <v>7.05</v>
      </c>
      <c r="HV44">
        <v>36.299999999999997</v>
      </c>
      <c r="HW44">
        <v>6.6</v>
      </c>
      <c r="HX44">
        <v>46.1</v>
      </c>
      <c r="HY44">
        <v>11</v>
      </c>
      <c r="HZ44">
        <v>17.3</v>
      </c>
      <c r="IA44">
        <v>4.0999999999999996</v>
      </c>
      <c r="IB44">
        <v>11.1</v>
      </c>
      <c r="IC44">
        <v>24.3</v>
      </c>
      <c r="ID44">
        <v>60.4</v>
      </c>
      <c r="IE44">
        <v>26.9</v>
      </c>
      <c r="IF44">
        <v>4.68</v>
      </c>
      <c r="IG44">
        <v>11.6</v>
      </c>
      <c r="IH44">
        <v>77.5</v>
      </c>
      <c r="II44">
        <v>3.13</v>
      </c>
      <c r="IJ44">
        <v>4.37</v>
      </c>
      <c r="IK44">
        <v>30.8</v>
      </c>
      <c r="IL44">
        <v>0.54</v>
      </c>
      <c r="IM44">
        <v>1.51</v>
      </c>
      <c r="IN44">
        <v>16.600000000000001</v>
      </c>
      <c r="IO44">
        <v>6.67</v>
      </c>
      <c r="IP44">
        <v>93.7</v>
      </c>
      <c r="IQ44">
        <v>4.54</v>
      </c>
      <c r="IR44">
        <v>1.65</v>
      </c>
      <c r="IS44">
        <v>76.099999999999994</v>
      </c>
      <c r="IT44">
        <v>3.62</v>
      </c>
      <c r="IU44">
        <v>57.1</v>
      </c>
      <c r="IV44">
        <v>3.74</v>
      </c>
      <c r="IW44">
        <v>36</v>
      </c>
      <c r="IX44">
        <v>1.04</v>
      </c>
      <c r="IY44">
        <v>21.3</v>
      </c>
      <c r="IZ44">
        <v>54.7</v>
      </c>
      <c r="JA44">
        <v>69.3</v>
      </c>
      <c r="JB44">
        <v>0.31</v>
      </c>
      <c r="JC44">
        <v>4.8</v>
      </c>
      <c r="JD44">
        <v>9.6</v>
      </c>
      <c r="JE44">
        <v>107</v>
      </c>
      <c r="JF44">
        <v>482</v>
      </c>
      <c r="JG44">
        <v>719</v>
      </c>
      <c r="JH44">
        <v>704</v>
      </c>
      <c r="JI44">
        <v>904</v>
      </c>
      <c r="JJ44">
        <v>301</v>
      </c>
      <c r="JK44">
        <v>61.6</v>
      </c>
    </row>
    <row r="45" spans="2:271" x14ac:dyDescent="0.2">
      <c r="B45" s="4" t="s">
        <v>397</v>
      </c>
      <c r="C45" s="4"/>
      <c r="E45">
        <v>31</v>
      </c>
      <c r="G45" t="s">
        <v>163</v>
      </c>
      <c r="J45" s="3"/>
      <c r="K45" s="3"/>
      <c r="GX45" s="18">
        <v>31</v>
      </c>
      <c r="GY45" s="4" t="s">
        <v>397</v>
      </c>
      <c r="GZ45" s="4">
        <v>8.25</v>
      </c>
      <c r="HA45" s="4">
        <v>10.4</v>
      </c>
      <c r="HB45" s="4">
        <v>0.24</v>
      </c>
      <c r="HC45" s="4">
        <v>32.1</v>
      </c>
      <c r="HD45" s="4">
        <v>57.1</v>
      </c>
      <c r="HE45" s="4">
        <v>67.8</v>
      </c>
      <c r="HF45" s="4">
        <v>7.6999999999999999E-2</v>
      </c>
      <c r="HG45" s="4">
        <v>4.4800000000000004</v>
      </c>
      <c r="HH45" s="4">
        <v>5.57</v>
      </c>
      <c r="HI45" s="4">
        <v>59</v>
      </c>
      <c r="HJ45" s="4">
        <v>34.6</v>
      </c>
      <c r="HK45" s="4">
        <v>4.76</v>
      </c>
      <c r="HL45" s="4">
        <v>54.4</v>
      </c>
      <c r="HM45" s="4">
        <v>23.4</v>
      </c>
      <c r="HN45" s="4">
        <v>12.5</v>
      </c>
      <c r="HO45" s="4">
        <v>30.7</v>
      </c>
      <c r="HP45" s="4">
        <v>27.2</v>
      </c>
      <c r="HQ45" s="4">
        <v>21.6</v>
      </c>
      <c r="HR45" s="4">
        <v>33</v>
      </c>
      <c r="HS45" s="4">
        <v>18.2</v>
      </c>
      <c r="HT45" s="4">
        <v>57.8</v>
      </c>
      <c r="HU45" s="4">
        <v>8.58</v>
      </c>
      <c r="HV45" s="4">
        <v>34.9</v>
      </c>
      <c r="HW45" s="4">
        <v>8.7799999999999994</v>
      </c>
      <c r="HX45" s="4">
        <v>25.1</v>
      </c>
      <c r="HY45" s="4">
        <v>31.2</v>
      </c>
      <c r="HZ45" s="4">
        <v>23.5</v>
      </c>
      <c r="IA45" s="4">
        <v>5.34</v>
      </c>
      <c r="IB45" s="4">
        <v>15.9</v>
      </c>
      <c r="IC45" s="4">
        <v>12.3</v>
      </c>
      <c r="ID45" s="4">
        <v>63.3</v>
      </c>
      <c r="IE45" s="4">
        <v>18.2</v>
      </c>
      <c r="IF45" s="4">
        <v>2.33</v>
      </c>
      <c r="IG45" s="4">
        <v>23.5</v>
      </c>
      <c r="IH45" s="4">
        <v>65.7</v>
      </c>
      <c r="II45" s="4">
        <v>3.74</v>
      </c>
      <c r="IJ45" s="4">
        <v>25.3</v>
      </c>
      <c r="IK45" s="4">
        <v>23.9</v>
      </c>
      <c r="IL45" s="4">
        <v>1.03</v>
      </c>
      <c r="IM45" s="4">
        <v>1.85</v>
      </c>
      <c r="IN45" s="4">
        <v>3.24</v>
      </c>
      <c r="IO45" s="4">
        <v>13</v>
      </c>
      <c r="IP45" s="4">
        <v>67.599999999999994</v>
      </c>
      <c r="IQ45" s="4">
        <v>29.5</v>
      </c>
      <c r="IR45" s="4">
        <v>2.84</v>
      </c>
      <c r="IS45" s="4">
        <v>70.2</v>
      </c>
      <c r="IT45" s="4">
        <v>15.2</v>
      </c>
      <c r="IU45" s="4">
        <v>43.2</v>
      </c>
      <c r="IV45" s="4">
        <v>3.09</v>
      </c>
      <c r="IW45" s="4">
        <v>51</v>
      </c>
      <c r="IX45" s="4">
        <v>0.87</v>
      </c>
      <c r="IY45" s="4">
        <v>15.2</v>
      </c>
      <c r="IZ45" s="4">
        <v>69.7</v>
      </c>
      <c r="JA45" s="4">
        <v>60</v>
      </c>
      <c r="JB45" s="4">
        <v>1.74</v>
      </c>
      <c r="JC45" s="4">
        <v>5.76</v>
      </c>
      <c r="JD45" s="4">
        <v>11.1</v>
      </c>
      <c r="JE45" s="4">
        <v>-78.5</v>
      </c>
      <c r="JF45" s="4">
        <v>153</v>
      </c>
      <c r="JG45" s="4">
        <v>201</v>
      </c>
      <c r="JH45" s="4">
        <v>383</v>
      </c>
      <c r="JI45" s="4">
        <v>1305</v>
      </c>
      <c r="JJ45" s="4">
        <v>392</v>
      </c>
      <c r="JK45" s="4">
        <v>-18.600000000000001</v>
      </c>
    </row>
    <row r="46" spans="2:271" x14ac:dyDescent="0.2">
      <c r="B46" s="4" t="s">
        <v>401</v>
      </c>
      <c r="C46" s="4"/>
      <c r="E46">
        <v>41</v>
      </c>
      <c r="G46" s="4" t="s">
        <v>169</v>
      </c>
      <c r="J46" s="3"/>
      <c r="K46" s="3"/>
      <c r="GX46">
        <v>41</v>
      </c>
      <c r="GY46" s="4" t="s">
        <v>401</v>
      </c>
      <c r="GZ46" s="4">
        <v>2.56</v>
      </c>
      <c r="HA46" s="4">
        <v>17.899999999999999</v>
      </c>
      <c r="HB46" s="4">
        <v>0.14000000000000001</v>
      </c>
      <c r="HC46" s="4">
        <v>38.5</v>
      </c>
      <c r="HD46" s="4">
        <v>41.7</v>
      </c>
      <c r="HE46" s="4">
        <v>86.1</v>
      </c>
      <c r="HF46" s="4">
        <v>8.4000000000000005E-2</v>
      </c>
      <c r="HG46" s="4">
        <v>1.1299999999999999</v>
      </c>
      <c r="HH46" s="4">
        <v>1.42</v>
      </c>
      <c r="HI46" s="4">
        <v>83.4</v>
      </c>
      <c r="HJ46" s="4">
        <v>58.1</v>
      </c>
      <c r="HK46" s="4">
        <v>5.55</v>
      </c>
      <c r="HL46" s="4">
        <v>68.8</v>
      </c>
      <c r="HM46" s="4">
        <v>16.2</v>
      </c>
      <c r="HN46" s="4">
        <v>3.91</v>
      </c>
      <c r="HO46" s="4">
        <v>18.899999999999999</v>
      </c>
      <c r="HP46" s="4">
        <v>19.600000000000001</v>
      </c>
      <c r="HQ46" s="4">
        <v>17.8</v>
      </c>
      <c r="HR46" s="4">
        <v>51.1</v>
      </c>
      <c r="HS46" s="4">
        <v>11.5</v>
      </c>
      <c r="HT46" s="4">
        <v>71.400000000000006</v>
      </c>
      <c r="HU46" s="4">
        <v>4.74</v>
      </c>
      <c r="HV46" s="4">
        <v>12.8</v>
      </c>
      <c r="HW46" s="4">
        <v>15.8</v>
      </c>
      <c r="HX46" s="4">
        <v>52.3</v>
      </c>
      <c r="HY46" s="4">
        <v>19.100000000000001</v>
      </c>
      <c r="HZ46" s="4">
        <v>24</v>
      </c>
      <c r="IA46" s="4">
        <v>3.48</v>
      </c>
      <c r="IB46" s="4">
        <v>4.2699999999999996</v>
      </c>
      <c r="IC46" s="4">
        <v>27.5</v>
      </c>
      <c r="ID46" s="4">
        <v>62</v>
      </c>
      <c r="IE46" s="4">
        <v>9.33</v>
      </c>
      <c r="IF46" s="4">
        <v>2.36</v>
      </c>
      <c r="IG46" s="4">
        <v>21.7</v>
      </c>
      <c r="IH46" s="4">
        <v>67.599999999999994</v>
      </c>
      <c r="II46" s="4">
        <v>4.28</v>
      </c>
      <c r="IJ46" s="4">
        <v>11.2</v>
      </c>
      <c r="IK46" s="4">
        <v>4.93</v>
      </c>
      <c r="IL46" s="4">
        <v>0.27</v>
      </c>
      <c r="IM46" s="4">
        <v>0.23</v>
      </c>
      <c r="IN46" s="4">
        <v>2.4300000000000002</v>
      </c>
      <c r="IO46" s="4">
        <v>6.94</v>
      </c>
      <c r="IP46" s="4">
        <v>59.7</v>
      </c>
      <c r="IQ46" s="4">
        <v>39.700000000000003</v>
      </c>
      <c r="IR46" s="4">
        <v>0.55000000000000004</v>
      </c>
      <c r="IS46" s="4">
        <v>62.6</v>
      </c>
      <c r="IT46" s="4">
        <v>29.2</v>
      </c>
      <c r="IU46" s="4">
        <v>69.3</v>
      </c>
      <c r="IV46" s="4">
        <v>5.34</v>
      </c>
      <c r="IW46" s="4">
        <v>17.2</v>
      </c>
      <c r="IX46" s="4">
        <v>0.55000000000000004</v>
      </c>
      <c r="IY46" s="4">
        <v>12</v>
      </c>
      <c r="IZ46" s="4">
        <v>67.8</v>
      </c>
      <c r="JA46" s="4">
        <v>68.099999999999994</v>
      </c>
      <c r="JB46" s="4">
        <v>0.61</v>
      </c>
      <c r="JC46" s="4">
        <v>2.8</v>
      </c>
      <c r="JD46" s="4">
        <v>7.62</v>
      </c>
      <c r="JE46" s="4">
        <v>-34.5</v>
      </c>
      <c r="JF46" s="4">
        <v>339</v>
      </c>
      <c r="JG46" s="4">
        <v>518</v>
      </c>
      <c r="JH46" s="4">
        <v>496</v>
      </c>
      <c r="JI46" s="4">
        <v>1407</v>
      </c>
      <c r="JJ46" s="4">
        <v>276</v>
      </c>
      <c r="JK46" s="4">
        <v>-8.9600000000000009</v>
      </c>
    </row>
    <row r="47" spans="2:271" x14ac:dyDescent="0.2">
      <c r="B47" s="4" t="s">
        <v>402</v>
      </c>
      <c r="C47" s="4"/>
      <c r="E47">
        <v>57</v>
      </c>
      <c r="G47" t="s">
        <v>163</v>
      </c>
      <c r="J47" s="3"/>
      <c r="K47" s="3"/>
      <c r="GX47">
        <v>57</v>
      </c>
      <c r="GY47" s="4" t="s">
        <v>402</v>
      </c>
      <c r="GZ47" s="4">
        <v>11.1</v>
      </c>
      <c r="HA47" s="4">
        <v>6.61</v>
      </c>
      <c r="HB47" s="4">
        <v>0.31</v>
      </c>
      <c r="HC47" s="4">
        <v>42.4</v>
      </c>
      <c r="HD47" s="4">
        <v>50.6</v>
      </c>
      <c r="HE47" s="4">
        <v>65.8</v>
      </c>
      <c r="HF47" s="4">
        <v>1.7000000000000001E-2</v>
      </c>
      <c r="HG47" s="4">
        <v>0.28999999999999998</v>
      </c>
      <c r="HH47" s="4">
        <v>1.29</v>
      </c>
      <c r="HI47" s="4">
        <v>64.099999999999994</v>
      </c>
      <c r="HJ47" s="4">
        <v>31.5</v>
      </c>
      <c r="HK47" s="4">
        <v>4.7300000000000004</v>
      </c>
      <c r="HL47" s="4">
        <v>45.7</v>
      </c>
      <c r="HM47" s="4">
        <v>18.899999999999999</v>
      </c>
      <c r="HN47" s="4">
        <v>27.2</v>
      </c>
      <c r="HO47" s="4">
        <v>42</v>
      </c>
      <c r="HP47" s="4">
        <v>65.8</v>
      </c>
      <c r="HQ47" s="4">
        <v>4.12</v>
      </c>
      <c r="HR47" s="4">
        <v>15.7</v>
      </c>
      <c r="HS47" s="4">
        <v>14.4</v>
      </c>
      <c r="HT47" s="4">
        <v>45.8</v>
      </c>
      <c r="HU47" s="4">
        <v>5.94</v>
      </c>
      <c r="HV47" s="4">
        <v>53.1</v>
      </c>
      <c r="HW47" s="4">
        <v>3.5</v>
      </c>
      <c r="HX47" s="4">
        <v>23</v>
      </c>
      <c r="HY47" s="4">
        <v>20.399999999999999</v>
      </c>
      <c r="HZ47" s="4">
        <v>31.3</v>
      </c>
      <c r="IA47" s="4">
        <v>4.5999999999999996</v>
      </c>
      <c r="IB47" s="4">
        <v>34.9</v>
      </c>
      <c r="IC47" s="4">
        <v>52.9</v>
      </c>
      <c r="ID47" s="4">
        <v>6.51</v>
      </c>
      <c r="IE47" s="4">
        <v>7.97</v>
      </c>
      <c r="IF47" s="4">
        <v>6.95</v>
      </c>
      <c r="IG47" s="4">
        <v>49.2</v>
      </c>
      <c r="IH47" s="4">
        <v>35.700000000000003</v>
      </c>
      <c r="II47" s="4">
        <v>1.77</v>
      </c>
      <c r="IJ47" s="4">
        <v>17.7</v>
      </c>
      <c r="IK47" s="4">
        <v>31.1</v>
      </c>
      <c r="IL47" s="4">
        <v>1.6</v>
      </c>
      <c r="IM47" s="4">
        <v>5.05</v>
      </c>
      <c r="IN47" s="4">
        <v>3.06</v>
      </c>
      <c r="IO47" s="4">
        <v>31.5</v>
      </c>
      <c r="IP47" s="4">
        <v>51.5</v>
      </c>
      <c r="IQ47" s="4">
        <v>40.6</v>
      </c>
      <c r="IR47" s="4">
        <v>0.6</v>
      </c>
      <c r="IS47" s="4">
        <v>40.200000000000003</v>
      </c>
      <c r="IT47" s="4">
        <v>23.9</v>
      </c>
      <c r="IU47" s="4">
        <v>41.9</v>
      </c>
      <c r="IV47" s="4">
        <v>3.48</v>
      </c>
      <c r="IW47" s="4">
        <v>50.1</v>
      </c>
      <c r="IX47" s="4">
        <v>3.02</v>
      </c>
      <c r="IY47" s="4">
        <v>11.9</v>
      </c>
      <c r="IZ47" s="4">
        <v>69.8</v>
      </c>
      <c r="JA47" s="4">
        <v>48.7</v>
      </c>
      <c r="JB47" s="4">
        <v>2.25</v>
      </c>
      <c r="JC47" s="4">
        <v>3.47</v>
      </c>
      <c r="JD47" s="4">
        <v>24.8</v>
      </c>
      <c r="JE47" s="4">
        <v>-59.9</v>
      </c>
      <c r="JF47" s="4">
        <v>111</v>
      </c>
      <c r="JG47" s="4">
        <v>99.3</v>
      </c>
      <c r="JH47" s="4">
        <v>97.1</v>
      </c>
      <c r="JI47" s="4">
        <v>49.3</v>
      </c>
      <c r="JJ47" s="4">
        <v>38.9</v>
      </c>
      <c r="JK47" s="4">
        <v>-15.7</v>
      </c>
    </row>
    <row r="48" spans="2:271" x14ac:dyDescent="0.2">
      <c r="B48" t="s">
        <v>374</v>
      </c>
      <c r="C48" s="4"/>
      <c r="E48">
        <v>37</v>
      </c>
      <c r="G48" t="s">
        <v>163</v>
      </c>
      <c r="J48" s="3"/>
      <c r="K48" s="3"/>
      <c r="GX48">
        <v>37</v>
      </c>
      <c r="GY48" t="s">
        <v>374</v>
      </c>
      <c r="GZ48">
        <v>12.2</v>
      </c>
      <c r="HA48">
        <v>3.73</v>
      </c>
      <c r="HB48">
        <v>0.71</v>
      </c>
      <c r="HC48">
        <v>26</v>
      </c>
      <c r="HD48">
        <v>69.599999999999994</v>
      </c>
      <c r="HE48">
        <v>69.099999999999994</v>
      </c>
      <c r="HF48">
        <v>1.4999999999999999E-2</v>
      </c>
      <c r="HG48">
        <v>4.1399999999999997</v>
      </c>
      <c r="HH48">
        <v>4.6399999999999997</v>
      </c>
      <c r="HI48">
        <v>61.5</v>
      </c>
      <c r="HJ48">
        <v>36.1</v>
      </c>
      <c r="HK48">
        <v>9.33</v>
      </c>
      <c r="HL48">
        <v>56.8</v>
      </c>
      <c r="HM48">
        <v>19.2</v>
      </c>
      <c r="HN48">
        <v>9.8699999999999992</v>
      </c>
      <c r="HO48">
        <v>24.2</v>
      </c>
      <c r="HP48">
        <v>21.6</v>
      </c>
      <c r="HQ48">
        <v>26.5</v>
      </c>
      <c r="HR48">
        <v>40.799999999999997</v>
      </c>
      <c r="HS48">
        <v>11.1</v>
      </c>
      <c r="HT48">
        <v>59.2</v>
      </c>
      <c r="HU48">
        <v>6.37</v>
      </c>
      <c r="HV48">
        <v>40.1</v>
      </c>
      <c r="HW48">
        <v>4.3499999999999996</v>
      </c>
      <c r="HX48">
        <v>46.5</v>
      </c>
      <c r="HY48">
        <v>9.01</v>
      </c>
      <c r="HZ48">
        <v>24.4</v>
      </c>
      <c r="IA48">
        <v>2.88</v>
      </c>
      <c r="IB48">
        <v>3.38</v>
      </c>
      <c r="IC48">
        <v>6.76</v>
      </c>
      <c r="ID48">
        <v>86.9</v>
      </c>
      <c r="IE48">
        <v>17</v>
      </c>
      <c r="IF48">
        <v>3.94</v>
      </c>
      <c r="IG48">
        <v>21.1</v>
      </c>
      <c r="IH48">
        <v>59.6</v>
      </c>
      <c r="II48">
        <v>10</v>
      </c>
      <c r="IJ48">
        <v>4.01</v>
      </c>
      <c r="IK48">
        <v>26.5</v>
      </c>
      <c r="IL48">
        <v>0.26</v>
      </c>
      <c r="IM48">
        <v>1.39</v>
      </c>
      <c r="IN48">
        <v>1.6</v>
      </c>
      <c r="IO48">
        <v>2.6</v>
      </c>
      <c r="IP48">
        <v>91.5</v>
      </c>
      <c r="IQ48">
        <v>6.86</v>
      </c>
      <c r="IR48">
        <v>1.5</v>
      </c>
      <c r="IS48">
        <v>91</v>
      </c>
      <c r="IT48">
        <v>5.58</v>
      </c>
      <c r="IU48">
        <v>64.3</v>
      </c>
      <c r="IV48">
        <v>2.35</v>
      </c>
      <c r="IW48">
        <v>31.1</v>
      </c>
      <c r="IX48">
        <v>0.28000000000000003</v>
      </c>
      <c r="IY48">
        <v>11.3</v>
      </c>
      <c r="IZ48">
        <v>37.299999999999997</v>
      </c>
      <c r="JA48">
        <v>50.1</v>
      </c>
      <c r="JB48">
        <v>0.28000000000000003</v>
      </c>
      <c r="JC48">
        <v>3.27</v>
      </c>
      <c r="JD48">
        <v>6.55</v>
      </c>
      <c r="JE48">
        <v>74.5</v>
      </c>
      <c r="JF48">
        <v>446</v>
      </c>
      <c r="JG48">
        <v>604</v>
      </c>
      <c r="JH48">
        <v>509</v>
      </c>
      <c r="JI48">
        <v>826</v>
      </c>
      <c r="JJ48">
        <v>396</v>
      </c>
      <c r="JK48">
        <v>20.7</v>
      </c>
    </row>
    <row r="49" spans="2:271" x14ac:dyDescent="0.2">
      <c r="B49" t="s">
        <v>387</v>
      </c>
      <c r="C49" s="4"/>
      <c r="E49">
        <v>38</v>
      </c>
      <c r="G49" s="4" t="s">
        <v>169</v>
      </c>
      <c r="J49" s="3"/>
      <c r="K49" s="3"/>
      <c r="GX49">
        <v>38</v>
      </c>
      <c r="GY49" t="s">
        <v>387</v>
      </c>
      <c r="GZ49">
        <v>12.2</v>
      </c>
      <c r="HA49">
        <v>3.06</v>
      </c>
      <c r="HB49">
        <v>0.64</v>
      </c>
      <c r="HC49">
        <v>32.4</v>
      </c>
      <c r="HD49">
        <v>63.9</v>
      </c>
      <c r="HE49">
        <v>69.2</v>
      </c>
      <c r="HF49">
        <v>1.7999999999999999E-2</v>
      </c>
      <c r="HG49">
        <v>0.28999999999999998</v>
      </c>
      <c r="HH49">
        <v>2.36</v>
      </c>
      <c r="HI49">
        <v>66.599999999999994</v>
      </c>
      <c r="HJ49">
        <v>51.6</v>
      </c>
      <c r="HK49">
        <v>5.36</v>
      </c>
      <c r="HL49">
        <v>54.7</v>
      </c>
      <c r="HM49">
        <v>31.9</v>
      </c>
      <c r="HN49">
        <v>5.43</v>
      </c>
      <c r="HO49">
        <v>30.4</v>
      </c>
      <c r="HP49">
        <v>54.8</v>
      </c>
      <c r="HQ49">
        <v>4.37</v>
      </c>
      <c r="HR49">
        <v>33.200000000000003</v>
      </c>
      <c r="HS49">
        <v>7.64</v>
      </c>
      <c r="HT49">
        <v>56.8</v>
      </c>
      <c r="HU49">
        <v>7.45</v>
      </c>
      <c r="HV49">
        <v>48.1</v>
      </c>
      <c r="HW49">
        <v>3.05</v>
      </c>
      <c r="HX49">
        <v>40.6</v>
      </c>
      <c r="HY49">
        <v>8.23</v>
      </c>
      <c r="HZ49">
        <v>14.3</v>
      </c>
      <c r="IA49">
        <v>8.77</v>
      </c>
      <c r="IB49">
        <v>7.86</v>
      </c>
      <c r="IC49">
        <v>15.2</v>
      </c>
      <c r="ID49">
        <v>68.099999999999994</v>
      </c>
      <c r="IE49">
        <v>18</v>
      </c>
      <c r="IF49">
        <v>1.1299999999999999</v>
      </c>
      <c r="IG49">
        <v>5.44</v>
      </c>
      <c r="IH49">
        <v>85.1</v>
      </c>
      <c r="II49">
        <v>6.52</v>
      </c>
      <c r="IJ49">
        <v>26.8</v>
      </c>
      <c r="IK49">
        <v>23.9</v>
      </c>
      <c r="IL49">
        <v>0.6</v>
      </c>
      <c r="IM49">
        <v>0.57999999999999996</v>
      </c>
      <c r="IN49">
        <v>2.13</v>
      </c>
      <c r="IO49">
        <v>6.3</v>
      </c>
      <c r="IP49">
        <v>96.4</v>
      </c>
      <c r="IQ49">
        <v>2.98</v>
      </c>
      <c r="IR49">
        <v>0.54</v>
      </c>
      <c r="IS49">
        <v>90.3</v>
      </c>
      <c r="IT49">
        <v>3.09</v>
      </c>
      <c r="IU49">
        <v>39.299999999999997</v>
      </c>
      <c r="IV49">
        <v>6.14</v>
      </c>
      <c r="IW49">
        <v>50.9</v>
      </c>
      <c r="IX49">
        <v>1.42</v>
      </c>
      <c r="IY49">
        <v>16.2</v>
      </c>
      <c r="IZ49">
        <v>53.7</v>
      </c>
      <c r="JA49">
        <v>68.900000000000006</v>
      </c>
      <c r="JB49">
        <v>0.62</v>
      </c>
      <c r="JC49">
        <v>1.86</v>
      </c>
      <c r="JD49">
        <v>8.17</v>
      </c>
      <c r="JE49">
        <v>31.5</v>
      </c>
      <c r="JF49">
        <v>424</v>
      </c>
      <c r="JG49">
        <v>434</v>
      </c>
      <c r="JH49">
        <v>474</v>
      </c>
      <c r="JI49">
        <v>655</v>
      </c>
      <c r="JJ49">
        <v>305</v>
      </c>
      <c r="JK49">
        <v>44.1</v>
      </c>
    </row>
    <row r="50" spans="2:271" x14ac:dyDescent="0.2">
      <c r="B50" t="s">
        <v>388</v>
      </c>
      <c r="C50" s="4"/>
      <c r="E50">
        <v>52</v>
      </c>
      <c r="G50" s="4" t="s">
        <v>169</v>
      </c>
      <c r="J50" s="3"/>
      <c r="K50" s="3"/>
      <c r="GX50">
        <v>52</v>
      </c>
      <c r="GY50" t="s">
        <v>388</v>
      </c>
      <c r="GZ50">
        <v>8.85</v>
      </c>
      <c r="HA50">
        <v>12.8</v>
      </c>
      <c r="HB50">
        <v>2.83</v>
      </c>
      <c r="HC50">
        <v>41.7</v>
      </c>
      <c r="HD50">
        <v>42.6</v>
      </c>
      <c r="HE50">
        <v>82.3</v>
      </c>
      <c r="HF50">
        <v>2.3E-2</v>
      </c>
      <c r="HG50">
        <v>0.91</v>
      </c>
      <c r="HH50">
        <v>2.6</v>
      </c>
      <c r="HI50">
        <v>78.5</v>
      </c>
      <c r="HJ50">
        <v>58.7</v>
      </c>
      <c r="HK50">
        <v>5.31</v>
      </c>
      <c r="HL50">
        <v>46</v>
      </c>
      <c r="HM50">
        <v>37.5</v>
      </c>
      <c r="HN50">
        <v>8.59</v>
      </c>
      <c r="HO50">
        <v>32.6</v>
      </c>
      <c r="HP50">
        <v>19</v>
      </c>
      <c r="HQ50">
        <v>23.3</v>
      </c>
      <c r="HR50">
        <v>51.5</v>
      </c>
      <c r="HS50">
        <v>6.24</v>
      </c>
      <c r="HT50">
        <v>41.5</v>
      </c>
      <c r="HU50">
        <v>14.3</v>
      </c>
      <c r="HV50">
        <v>19.2</v>
      </c>
      <c r="HW50">
        <v>16.5</v>
      </c>
      <c r="HX50">
        <v>41.5</v>
      </c>
      <c r="HY50">
        <v>22.7</v>
      </c>
      <c r="HZ50">
        <v>18.7</v>
      </c>
      <c r="IA50">
        <v>11</v>
      </c>
      <c r="IB50">
        <v>15.2</v>
      </c>
      <c r="IC50">
        <v>31.8</v>
      </c>
      <c r="ID50">
        <v>42</v>
      </c>
      <c r="IE50">
        <v>9.43</v>
      </c>
      <c r="IF50">
        <v>3.73</v>
      </c>
      <c r="IG50">
        <v>26.2</v>
      </c>
      <c r="IH50">
        <v>58.1</v>
      </c>
      <c r="II50">
        <v>7.36</v>
      </c>
      <c r="IJ50">
        <v>23.2</v>
      </c>
      <c r="IK50">
        <v>13.2</v>
      </c>
      <c r="IL50">
        <v>1.49</v>
      </c>
      <c r="IM50">
        <v>2.14</v>
      </c>
      <c r="IN50">
        <v>3.11</v>
      </c>
      <c r="IO50">
        <v>17.8</v>
      </c>
      <c r="IP50">
        <v>93.3</v>
      </c>
      <c r="IQ50">
        <v>3.86</v>
      </c>
      <c r="IR50">
        <v>2.29</v>
      </c>
      <c r="IS50">
        <v>78.5</v>
      </c>
      <c r="IT50">
        <v>3.34</v>
      </c>
      <c r="IU50">
        <v>54.9</v>
      </c>
      <c r="IV50">
        <v>5.47</v>
      </c>
      <c r="IW50">
        <v>36.700000000000003</v>
      </c>
      <c r="IX50">
        <v>0.91</v>
      </c>
      <c r="IY50">
        <v>5.24</v>
      </c>
      <c r="IZ50">
        <v>53.7</v>
      </c>
      <c r="JA50">
        <v>69.3</v>
      </c>
      <c r="JB50">
        <v>1.64</v>
      </c>
      <c r="JC50">
        <v>1.51</v>
      </c>
      <c r="JD50">
        <v>25</v>
      </c>
      <c r="JE50">
        <v>100</v>
      </c>
      <c r="JF50">
        <v>422</v>
      </c>
      <c r="JG50">
        <v>466</v>
      </c>
      <c r="JH50">
        <v>558</v>
      </c>
      <c r="JI50">
        <v>491</v>
      </c>
      <c r="JJ50">
        <v>182</v>
      </c>
      <c r="JK50">
        <v>61.1</v>
      </c>
    </row>
    <row r="51" spans="2:271" x14ac:dyDescent="0.2">
      <c r="B51" t="s">
        <v>362</v>
      </c>
      <c r="C51" s="4"/>
      <c r="E51">
        <v>37</v>
      </c>
      <c r="G51" t="s">
        <v>163</v>
      </c>
      <c r="J51" s="3"/>
      <c r="K51" s="3"/>
      <c r="GX51">
        <v>37</v>
      </c>
      <c r="GY51" t="s">
        <v>362</v>
      </c>
      <c r="GZ51">
        <v>3.84</v>
      </c>
      <c r="HA51">
        <v>5.84</v>
      </c>
      <c r="HB51">
        <v>6.4000000000000001E-2</v>
      </c>
      <c r="HC51">
        <v>50.4</v>
      </c>
      <c r="HD51">
        <v>43.7</v>
      </c>
      <c r="HE51">
        <v>82.6</v>
      </c>
      <c r="HF51" s="6">
        <v>6.7200000000000003E-3</v>
      </c>
      <c r="HG51">
        <v>1.98</v>
      </c>
      <c r="HH51">
        <v>15.2</v>
      </c>
      <c r="HI51">
        <v>65.599999999999994</v>
      </c>
      <c r="HJ51">
        <v>24.7</v>
      </c>
      <c r="HK51">
        <v>8.89</v>
      </c>
      <c r="HL51">
        <v>37.4</v>
      </c>
      <c r="HM51">
        <v>30.5</v>
      </c>
      <c r="HN51">
        <v>20.100000000000001</v>
      </c>
      <c r="HO51">
        <v>41.7</v>
      </c>
      <c r="HP51">
        <v>44.8</v>
      </c>
      <c r="HQ51">
        <v>10.199999999999999</v>
      </c>
      <c r="HR51">
        <v>38.9</v>
      </c>
      <c r="HS51">
        <v>6.08</v>
      </c>
      <c r="HT51">
        <v>36.5</v>
      </c>
      <c r="HU51">
        <v>9.74</v>
      </c>
      <c r="HV51">
        <v>27.3</v>
      </c>
      <c r="HW51">
        <v>7.46</v>
      </c>
      <c r="HX51">
        <v>53.5</v>
      </c>
      <c r="HY51">
        <v>11.7</v>
      </c>
      <c r="HZ51">
        <v>40.299999999999997</v>
      </c>
      <c r="IA51">
        <v>2.33</v>
      </c>
      <c r="IB51">
        <v>23.1</v>
      </c>
      <c r="IC51">
        <v>59.9</v>
      </c>
      <c r="ID51">
        <v>14.7</v>
      </c>
      <c r="IE51">
        <v>11.1</v>
      </c>
      <c r="IF51">
        <v>4.6500000000000004</v>
      </c>
      <c r="IG51">
        <v>19.8</v>
      </c>
      <c r="IH51">
        <v>57.8</v>
      </c>
      <c r="II51">
        <v>14.7</v>
      </c>
      <c r="IJ51">
        <v>14</v>
      </c>
      <c r="IK51">
        <v>29.8</v>
      </c>
      <c r="IL51">
        <v>0.69</v>
      </c>
      <c r="IM51">
        <v>1.17</v>
      </c>
      <c r="IN51">
        <v>0.74</v>
      </c>
      <c r="IO51">
        <v>1.08</v>
      </c>
      <c r="IP51">
        <v>65.400000000000006</v>
      </c>
      <c r="IQ51">
        <v>33.200000000000003</v>
      </c>
      <c r="IR51">
        <v>1.36</v>
      </c>
      <c r="IS51">
        <v>79.2</v>
      </c>
      <c r="IT51">
        <v>19.399999999999999</v>
      </c>
      <c r="IU51">
        <v>33.9</v>
      </c>
      <c r="IV51">
        <v>3.64</v>
      </c>
      <c r="IW51">
        <v>45.8</v>
      </c>
      <c r="IX51">
        <v>1.29</v>
      </c>
      <c r="IY51">
        <v>8.83</v>
      </c>
      <c r="IZ51">
        <v>68.900000000000006</v>
      </c>
      <c r="JA51">
        <v>48.2</v>
      </c>
      <c r="JB51">
        <v>0.18</v>
      </c>
      <c r="JC51">
        <v>4.59</v>
      </c>
      <c r="JD51">
        <v>41.3</v>
      </c>
      <c r="JE51">
        <v>-60.2</v>
      </c>
      <c r="JF51">
        <v>192</v>
      </c>
      <c r="JG51">
        <v>340</v>
      </c>
      <c r="JH51">
        <v>264</v>
      </c>
      <c r="JI51">
        <v>374</v>
      </c>
      <c r="JJ51">
        <v>63.9</v>
      </c>
      <c r="JK51">
        <v>25.7</v>
      </c>
    </row>
    <row r="52" spans="2:271" x14ac:dyDescent="0.2">
      <c r="B52" t="s">
        <v>363</v>
      </c>
      <c r="C52" s="4"/>
      <c r="E52">
        <v>25</v>
      </c>
      <c r="G52" s="4" t="s">
        <v>169</v>
      </c>
      <c r="J52" s="3"/>
      <c r="K52" s="3"/>
      <c r="GX52">
        <v>25</v>
      </c>
      <c r="GY52" s="17" t="s">
        <v>363</v>
      </c>
      <c r="GZ52" s="17">
        <v>7.04</v>
      </c>
      <c r="HA52" s="17">
        <v>22.5</v>
      </c>
      <c r="HB52" s="17">
        <v>1.24</v>
      </c>
      <c r="HC52" s="17">
        <v>54.7</v>
      </c>
      <c r="HD52" s="17">
        <v>21.5</v>
      </c>
      <c r="HE52" s="17">
        <v>75.400000000000006</v>
      </c>
      <c r="HF52" s="17">
        <v>3.76</v>
      </c>
      <c r="HG52" s="17">
        <v>7.05</v>
      </c>
      <c r="HH52" s="17">
        <v>2.73</v>
      </c>
      <c r="HI52" s="17">
        <v>63.4</v>
      </c>
      <c r="HJ52" s="17">
        <v>46.8</v>
      </c>
      <c r="HK52" s="17">
        <v>7.91</v>
      </c>
      <c r="HL52" s="17">
        <v>45.6</v>
      </c>
      <c r="HM52" s="17">
        <v>32.6</v>
      </c>
      <c r="HN52" s="17">
        <v>11.9</v>
      </c>
      <c r="HO52" s="17">
        <v>39</v>
      </c>
      <c r="HP52" s="17">
        <v>22</v>
      </c>
      <c r="HQ52" s="17">
        <v>29.7</v>
      </c>
      <c r="HR52" s="17">
        <v>31.7</v>
      </c>
      <c r="HS52" s="17">
        <v>16.600000000000001</v>
      </c>
      <c r="HT52" s="17">
        <v>45.5</v>
      </c>
      <c r="HU52" s="17">
        <v>6.52</v>
      </c>
      <c r="HV52" s="17">
        <v>30.8</v>
      </c>
      <c r="HW52" s="17">
        <v>10</v>
      </c>
      <c r="HX52" s="17">
        <v>46.8</v>
      </c>
      <c r="HY52" s="17">
        <v>12.4</v>
      </c>
      <c r="HZ52" s="17">
        <v>15.2</v>
      </c>
      <c r="IA52" s="17">
        <v>2.72</v>
      </c>
      <c r="IB52" s="17">
        <v>16.899999999999999</v>
      </c>
      <c r="IC52" s="17">
        <v>25.8</v>
      </c>
      <c r="ID52" s="17">
        <v>54.5</v>
      </c>
      <c r="IE52" s="17">
        <v>15.4</v>
      </c>
      <c r="IF52" s="17">
        <v>3.01</v>
      </c>
      <c r="IG52" s="17">
        <v>14</v>
      </c>
      <c r="IH52" s="17">
        <v>64.599999999999994</v>
      </c>
      <c r="II52" s="17">
        <v>16.399999999999999</v>
      </c>
      <c r="IJ52" s="17">
        <v>13.3</v>
      </c>
      <c r="IK52" s="17">
        <v>31.8</v>
      </c>
      <c r="IL52" s="17">
        <v>0.37</v>
      </c>
      <c r="IM52" s="17">
        <v>0.85</v>
      </c>
      <c r="IN52" s="17">
        <v>0.94</v>
      </c>
      <c r="IO52" s="17">
        <v>0.8</v>
      </c>
      <c r="IP52" s="17">
        <v>68.599999999999994</v>
      </c>
      <c r="IQ52" s="17">
        <v>30.3</v>
      </c>
      <c r="IR52" s="17">
        <v>1</v>
      </c>
      <c r="IS52" s="17">
        <v>90.1</v>
      </c>
      <c r="IT52" s="17">
        <v>9.09</v>
      </c>
      <c r="IU52" s="17">
        <v>34.799999999999997</v>
      </c>
      <c r="IV52" s="17">
        <v>2.3199999999999998</v>
      </c>
      <c r="IW52" s="17">
        <v>46.5</v>
      </c>
      <c r="IX52" s="17">
        <v>0.15</v>
      </c>
      <c r="IY52" s="17">
        <v>2.35</v>
      </c>
      <c r="IZ52" s="17">
        <v>20</v>
      </c>
      <c r="JA52" s="17">
        <v>40.799999999999997</v>
      </c>
      <c r="JB52" s="17">
        <v>0.32</v>
      </c>
      <c r="JC52" s="17">
        <v>3.39</v>
      </c>
      <c r="JD52" s="17">
        <v>4.53</v>
      </c>
      <c r="JE52" s="17">
        <v>-36.5</v>
      </c>
      <c r="JF52" s="17">
        <v>302</v>
      </c>
      <c r="JG52" s="17">
        <v>462</v>
      </c>
      <c r="JH52" s="17">
        <v>335</v>
      </c>
      <c r="JI52" s="17">
        <v>657</v>
      </c>
      <c r="JJ52" s="17">
        <v>389</v>
      </c>
      <c r="JK52" s="17">
        <v>17.5</v>
      </c>
    </row>
    <row r="53" spans="2:271" x14ac:dyDescent="0.2">
      <c r="B53" t="s">
        <v>364</v>
      </c>
      <c r="C53" s="4"/>
      <c r="E53">
        <v>29</v>
      </c>
      <c r="G53" t="s">
        <v>163</v>
      </c>
      <c r="J53" s="3"/>
      <c r="K53" s="3"/>
      <c r="GX53">
        <v>29</v>
      </c>
      <c r="GY53" t="s">
        <v>364</v>
      </c>
      <c r="GZ53">
        <v>22.8</v>
      </c>
      <c r="HA53">
        <v>1.1200000000000001</v>
      </c>
      <c r="HB53">
        <v>8.8999999999999996E-2</v>
      </c>
      <c r="HC53">
        <v>39.200000000000003</v>
      </c>
      <c r="HD53">
        <v>59.6</v>
      </c>
      <c r="HE53">
        <v>65.3</v>
      </c>
      <c r="HF53">
        <v>5.7000000000000002E-2</v>
      </c>
      <c r="HG53">
        <v>6.62</v>
      </c>
      <c r="HH53">
        <v>14.9</v>
      </c>
      <c r="HI53">
        <v>45.7</v>
      </c>
      <c r="HJ53">
        <v>29.6</v>
      </c>
      <c r="HK53">
        <v>9.58</v>
      </c>
      <c r="HL53">
        <v>45.9</v>
      </c>
      <c r="HM53">
        <v>29.9</v>
      </c>
      <c r="HN53">
        <v>12.9</v>
      </c>
      <c r="HO53">
        <v>35.1</v>
      </c>
      <c r="HP53">
        <v>45.1</v>
      </c>
      <c r="HQ53">
        <v>14.2</v>
      </c>
      <c r="HR53">
        <v>33</v>
      </c>
      <c r="HS53">
        <v>7.77</v>
      </c>
      <c r="HT53">
        <v>46.9</v>
      </c>
      <c r="HU53">
        <v>8.42</v>
      </c>
      <c r="HV53">
        <v>42.6</v>
      </c>
      <c r="HW53">
        <v>2.64</v>
      </c>
      <c r="HX53">
        <v>48.8</v>
      </c>
      <c r="HY53">
        <v>5.94</v>
      </c>
      <c r="HZ53">
        <v>15.4</v>
      </c>
      <c r="IA53">
        <v>4.62</v>
      </c>
      <c r="IB53">
        <v>37.6</v>
      </c>
      <c r="IC53">
        <v>12.1</v>
      </c>
      <c r="ID53">
        <v>45.5</v>
      </c>
      <c r="IE53">
        <v>7.66</v>
      </c>
      <c r="IF53">
        <v>6.05</v>
      </c>
      <c r="IG53">
        <v>53.4</v>
      </c>
      <c r="IH53">
        <v>34.799999999999997</v>
      </c>
      <c r="II53">
        <v>2.37</v>
      </c>
      <c r="IJ53">
        <v>15.3</v>
      </c>
      <c r="IK53">
        <v>21.1</v>
      </c>
      <c r="IL53">
        <v>1.01</v>
      </c>
      <c r="IM53">
        <v>3.07</v>
      </c>
      <c r="IN53">
        <v>1.85</v>
      </c>
      <c r="IO53">
        <v>4.63</v>
      </c>
      <c r="IP53">
        <v>59.4</v>
      </c>
      <c r="IQ53">
        <v>36.1</v>
      </c>
      <c r="IR53">
        <v>4.3600000000000003</v>
      </c>
      <c r="IS53">
        <v>71.7</v>
      </c>
      <c r="IT53">
        <v>22.4</v>
      </c>
      <c r="IU53">
        <v>45.7</v>
      </c>
      <c r="IV53">
        <v>2.83</v>
      </c>
      <c r="IW53">
        <v>39.299999999999997</v>
      </c>
      <c r="IX53">
        <v>0.22</v>
      </c>
      <c r="IY53">
        <v>5.2</v>
      </c>
      <c r="IZ53">
        <v>51.5</v>
      </c>
      <c r="JA53">
        <v>37</v>
      </c>
      <c r="JB53">
        <v>0.31</v>
      </c>
      <c r="JC53">
        <v>1.91</v>
      </c>
      <c r="JD53">
        <v>7.4</v>
      </c>
      <c r="JE53">
        <v>-57.4</v>
      </c>
      <c r="JF53">
        <v>180</v>
      </c>
      <c r="JG53">
        <v>318</v>
      </c>
      <c r="JH53">
        <v>332</v>
      </c>
      <c r="JI53">
        <v>810</v>
      </c>
      <c r="JJ53">
        <v>274</v>
      </c>
      <c r="JK53">
        <v>-12.9</v>
      </c>
    </row>
    <row r="54" spans="2:271" x14ac:dyDescent="0.2">
      <c r="B54" t="s">
        <v>375</v>
      </c>
      <c r="C54" s="4"/>
      <c r="E54">
        <v>22</v>
      </c>
      <c r="G54" s="4" t="s">
        <v>169</v>
      </c>
      <c r="J54" s="3"/>
      <c r="K54" s="3"/>
      <c r="GX54">
        <v>22</v>
      </c>
      <c r="GY54" t="s">
        <v>375</v>
      </c>
      <c r="GZ54">
        <v>11.1</v>
      </c>
      <c r="HA54">
        <v>9.8699999999999992</v>
      </c>
      <c r="HB54">
        <v>0.23</v>
      </c>
      <c r="HC54">
        <v>38</v>
      </c>
      <c r="HD54">
        <v>51.9</v>
      </c>
      <c r="HE54">
        <v>66</v>
      </c>
      <c r="HF54">
        <v>5.8000000000000003E-2</v>
      </c>
      <c r="HG54">
        <v>5.66</v>
      </c>
      <c r="HH54">
        <v>6.9</v>
      </c>
      <c r="HI54">
        <v>55.2</v>
      </c>
      <c r="HJ54">
        <v>36.299999999999997</v>
      </c>
      <c r="HK54">
        <v>6.79</v>
      </c>
      <c r="HL54">
        <v>56.1</v>
      </c>
      <c r="HM54">
        <v>19.7</v>
      </c>
      <c r="HN54">
        <v>14.8</v>
      </c>
      <c r="HO54">
        <v>28.6</v>
      </c>
      <c r="HP54">
        <v>39.4</v>
      </c>
      <c r="HQ54">
        <v>10.3</v>
      </c>
      <c r="HR54">
        <v>39.9</v>
      </c>
      <c r="HS54">
        <v>10.4</v>
      </c>
      <c r="HT54">
        <v>58.1</v>
      </c>
      <c r="HU54">
        <v>6.84</v>
      </c>
      <c r="HV54">
        <v>47.9</v>
      </c>
      <c r="HW54">
        <v>2.02</v>
      </c>
      <c r="HX54">
        <v>42.8</v>
      </c>
      <c r="HY54">
        <v>7.32</v>
      </c>
      <c r="HZ54">
        <v>17.7</v>
      </c>
      <c r="IA54">
        <v>3.75</v>
      </c>
      <c r="IB54">
        <v>6.53</v>
      </c>
      <c r="IC54">
        <v>28.5</v>
      </c>
      <c r="ID54">
        <v>61</v>
      </c>
      <c r="IE54">
        <v>19.7</v>
      </c>
      <c r="IF54">
        <v>3.54</v>
      </c>
      <c r="IG54">
        <v>22.8</v>
      </c>
      <c r="IH54">
        <v>56.2</v>
      </c>
      <c r="II54">
        <v>9.7200000000000006</v>
      </c>
      <c r="IJ54">
        <v>3.66</v>
      </c>
      <c r="IK54">
        <v>27.2</v>
      </c>
      <c r="IL54">
        <v>0.61</v>
      </c>
      <c r="IM54">
        <v>2.0499999999999998</v>
      </c>
      <c r="IN54">
        <v>4.3899999999999997</v>
      </c>
      <c r="IO54">
        <v>5.72</v>
      </c>
      <c r="IP54">
        <v>91.2</v>
      </c>
      <c r="IQ54">
        <v>6.47</v>
      </c>
      <c r="IR54">
        <v>2.25</v>
      </c>
      <c r="IS54">
        <v>87.4</v>
      </c>
      <c r="IT54">
        <v>4.6900000000000004</v>
      </c>
      <c r="IU54">
        <v>62.8</v>
      </c>
      <c r="IV54">
        <v>1.9</v>
      </c>
      <c r="IW54">
        <v>31.4</v>
      </c>
      <c r="IX54">
        <v>0.52</v>
      </c>
      <c r="IY54">
        <v>4.12</v>
      </c>
      <c r="IZ54">
        <v>36</v>
      </c>
      <c r="JA54">
        <v>79.599999999999994</v>
      </c>
      <c r="JB54">
        <v>0.13</v>
      </c>
      <c r="JC54">
        <v>1.68</v>
      </c>
      <c r="JD54">
        <v>7.58</v>
      </c>
      <c r="JE54">
        <v>51.6</v>
      </c>
      <c r="JF54">
        <v>563</v>
      </c>
      <c r="JG54">
        <v>519</v>
      </c>
      <c r="JH54">
        <v>420</v>
      </c>
      <c r="JI54">
        <v>526</v>
      </c>
      <c r="JJ54">
        <v>179</v>
      </c>
      <c r="JK54">
        <v>26.8</v>
      </c>
    </row>
    <row r="55" spans="2:271" x14ac:dyDescent="0.2">
      <c r="B55" t="s">
        <v>379</v>
      </c>
      <c r="C55" s="4"/>
      <c r="E55">
        <v>29</v>
      </c>
      <c r="G55" s="4" t="s">
        <v>169</v>
      </c>
      <c r="J55" s="3"/>
      <c r="K55" s="3"/>
      <c r="GX55">
        <v>29</v>
      </c>
      <c r="GY55" t="s">
        <v>379</v>
      </c>
      <c r="GZ55">
        <v>27.4</v>
      </c>
      <c r="HA55">
        <v>3.29</v>
      </c>
      <c r="HB55">
        <v>0.11</v>
      </c>
      <c r="HC55">
        <v>26.8</v>
      </c>
      <c r="HD55">
        <v>69.8</v>
      </c>
      <c r="HE55">
        <v>63.9</v>
      </c>
      <c r="HF55">
        <v>6.9000000000000006E-2</v>
      </c>
      <c r="HG55">
        <v>10.3</v>
      </c>
      <c r="HH55">
        <v>8.7100000000000009</v>
      </c>
      <c r="HI55">
        <v>48.5</v>
      </c>
      <c r="HJ55">
        <v>28.5</v>
      </c>
      <c r="HK55">
        <v>5.3</v>
      </c>
      <c r="HL55">
        <v>49.7</v>
      </c>
      <c r="HM55">
        <v>30.9</v>
      </c>
      <c r="HN55">
        <v>13.3</v>
      </c>
      <c r="HO55">
        <v>37.299999999999997</v>
      </c>
      <c r="HP55">
        <v>35.4</v>
      </c>
      <c r="HQ55">
        <v>16.100000000000001</v>
      </c>
      <c r="HR55">
        <v>32.5</v>
      </c>
      <c r="HS55">
        <v>16</v>
      </c>
      <c r="HT55">
        <v>49.9</v>
      </c>
      <c r="HU55">
        <v>6.68</v>
      </c>
      <c r="HV55">
        <v>29.3</v>
      </c>
      <c r="HW55">
        <v>9</v>
      </c>
      <c r="HX55">
        <v>43.4</v>
      </c>
      <c r="HY55">
        <v>18.3</v>
      </c>
      <c r="HZ55">
        <v>19</v>
      </c>
      <c r="IA55">
        <v>5.12</v>
      </c>
      <c r="IB55">
        <v>12.9</v>
      </c>
      <c r="IC55">
        <v>9.2799999999999994</v>
      </c>
      <c r="ID55">
        <v>72.7</v>
      </c>
      <c r="IE55">
        <v>5.77</v>
      </c>
      <c r="IF55">
        <v>7.25</v>
      </c>
      <c r="IG55">
        <v>36.700000000000003</v>
      </c>
      <c r="IH55">
        <v>46.6</v>
      </c>
      <c r="II55">
        <v>3.43</v>
      </c>
      <c r="IJ55">
        <v>10.4</v>
      </c>
      <c r="IK55">
        <v>40.1</v>
      </c>
      <c r="IL55">
        <v>0.69</v>
      </c>
      <c r="IM55">
        <v>3.63</v>
      </c>
      <c r="IN55">
        <v>7.16</v>
      </c>
      <c r="IO55">
        <v>3.69</v>
      </c>
      <c r="IP55">
        <v>77.8</v>
      </c>
      <c r="IQ55">
        <v>17.8</v>
      </c>
      <c r="IR55">
        <v>4.2699999999999996</v>
      </c>
      <c r="IS55">
        <v>81.2</v>
      </c>
      <c r="IT55">
        <v>8.2799999999999994</v>
      </c>
      <c r="IU55">
        <v>43.2</v>
      </c>
      <c r="IV55">
        <v>2.52</v>
      </c>
      <c r="IW55">
        <v>51.3</v>
      </c>
      <c r="IX55">
        <v>0.45</v>
      </c>
      <c r="IY55">
        <v>4.58</v>
      </c>
      <c r="IZ55">
        <v>39.4</v>
      </c>
      <c r="JA55">
        <v>44.8</v>
      </c>
      <c r="JB55">
        <v>0.46</v>
      </c>
      <c r="JC55">
        <v>2.2000000000000002</v>
      </c>
      <c r="JD55">
        <v>13.6</v>
      </c>
      <c r="JE55">
        <v>-24.3</v>
      </c>
      <c r="JF55">
        <v>445</v>
      </c>
      <c r="JG55">
        <v>519</v>
      </c>
      <c r="JH55">
        <v>392</v>
      </c>
      <c r="JI55">
        <v>823</v>
      </c>
      <c r="JJ55">
        <v>279</v>
      </c>
      <c r="JK55">
        <v>-71.5</v>
      </c>
    </row>
    <row r="56" spans="2:271" x14ac:dyDescent="0.2">
      <c r="B56" s="4" t="s">
        <v>403</v>
      </c>
      <c r="C56" s="4"/>
      <c r="E56">
        <v>73</v>
      </c>
      <c r="G56" t="s">
        <v>163</v>
      </c>
      <c r="J56" s="3"/>
      <c r="K56" s="3"/>
      <c r="GX56">
        <v>73</v>
      </c>
      <c r="GY56" s="4" t="s">
        <v>403</v>
      </c>
      <c r="GZ56" s="4">
        <v>27.9</v>
      </c>
      <c r="HA56" s="4">
        <v>1.68</v>
      </c>
      <c r="HB56" s="4">
        <v>0.72</v>
      </c>
      <c r="HC56" s="4">
        <v>19.5</v>
      </c>
      <c r="HD56" s="4">
        <v>78.2</v>
      </c>
      <c r="HE56" s="4">
        <v>46.6</v>
      </c>
      <c r="HF56" s="4">
        <v>1.7999999999999999E-2</v>
      </c>
      <c r="HG56" s="4">
        <v>1.64</v>
      </c>
      <c r="HH56" s="4">
        <v>2.59</v>
      </c>
      <c r="HI56" s="4">
        <v>43.1</v>
      </c>
      <c r="HJ56" s="4">
        <v>32.9</v>
      </c>
      <c r="HK56" s="4">
        <v>3.25</v>
      </c>
      <c r="HL56" s="4">
        <v>67</v>
      </c>
      <c r="HM56" s="4">
        <v>17.100000000000001</v>
      </c>
      <c r="HN56" s="4">
        <v>11.6</v>
      </c>
      <c r="HO56" s="4">
        <v>24.4</v>
      </c>
      <c r="HP56" s="4">
        <v>48</v>
      </c>
      <c r="HQ56" s="4">
        <v>15.3</v>
      </c>
      <c r="HR56" s="4">
        <v>15.9</v>
      </c>
      <c r="HS56" s="4">
        <v>20.8</v>
      </c>
      <c r="HT56" s="4">
        <v>32.299999999999997</v>
      </c>
      <c r="HU56" s="4">
        <v>3.9</v>
      </c>
      <c r="HV56" s="4">
        <v>28.5</v>
      </c>
      <c r="HW56" s="4">
        <v>12.7</v>
      </c>
      <c r="HX56" s="4">
        <v>18.899999999999999</v>
      </c>
      <c r="HY56" s="4">
        <v>39.9</v>
      </c>
      <c r="HZ56" s="4">
        <v>8.9700000000000006</v>
      </c>
      <c r="IA56" s="4">
        <v>2.82</v>
      </c>
      <c r="IB56" s="4">
        <v>11.4</v>
      </c>
      <c r="IC56" s="4">
        <v>65.599999999999994</v>
      </c>
      <c r="ID56" s="4">
        <v>18.600000000000001</v>
      </c>
      <c r="IE56" s="4">
        <v>7.27</v>
      </c>
      <c r="IF56" s="4">
        <v>7.4</v>
      </c>
      <c r="IG56" s="4">
        <v>26.4</v>
      </c>
      <c r="IH56" s="4">
        <v>53.9</v>
      </c>
      <c r="II56" s="4">
        <v>7.74</v>
      </c>
      <c r="IJ56" s="4">
        <v>8.5</v>
      </c>
      <c r="IK56" s="4">
        <v>6.56</v>
      </c>
      <c r="IL56" s="4">
        <v>0.28999999999999998</v>
      </c>
      <c r="IM56" s="4">
        <v>0.19</v>
      </c>
      <c r="IN56" s="4">
        <v>1.33</v>
      </c>
      <c r="IO56" s="4">
        <v>0.1</v>
      </c>
      <c r="IP56" s="4">
        <v>67.5</v>
      </c>
      <c r="IQ56" s="4">
        <v>31.3</v>
      </c>
      <c r="IR56" s="4">
        <v>0.18</v>
      </c>
      <c r="IS56" s="4">
        <v>76.2</v>
      </c>
      <c r="IT56" s="4">
        <v>22.8</v>
      </c>
      <c r="IU56" s="4">
        <v>53.4</v>
      </c>
      <c r="IV56" s="4">
        <v>4.5</v>
      </c>
      <c r="IW56" s="4">
        <v>18.5</v>
      </c>
      <c r="IX56" s="4">
        <v>1.55</v>
      </c>
      <c r="IY56" s="4">
        <v>11.4</v>
      </c>
      <c r="IZ56" s="4">
        <v>52.1</v>
      </c>
      <c r="JA56" s="4">
        <v>88.4</v>
      </c>
      <c r="JB56" s="4">
        <v>1.81</v>
      </c>
      <c r="JC56" s="4">
        <v>4.8499999999999996</v>
      </c>
      <c r="JD56" s="4">
        <v>15</v>
      </c>
      <c r="JE56" s="4">
        <v>-29.7</v>
      </c>
      <c r="JF56" s="4">
        <v>145</v>
      </c>
      <c r="JG56" s="4">
        <v>231</v>
      </c>
      <c r="JH56" s="4">
        <v>239</v>
      </c>
      <c r="JI56" s="4">
        <v>314</v>
      </c>
      <c r="JJ56" s="4">
        <v>58.3</v>
      </c>
      <c r="JK56" s="4">
        <v>-23.9</v>
      </c>
    </row>
    <row r="57" spans="2:271" x14ac:dyDescent="0.2">
      <c r="B57" t="s">
        <v>371</v>
      </c>
      <c r="C57" s="4"/>
      <c r="E57">
        <v>29</v>
      </c>
      <c r="G57" t="s">
        <v>163</v>
      </c>
      <c r="J57" s="3"/>
      <c r="K57" s="3"/>
      <c r="GX57">
        <v>29</v>
      </c>
      <c r="GY57" t="s">
        <v>371</v>
      </c>
      <c r="GZ57">
        <v>2.33</v>
      </c>
      <c r="HA57">
        <v>9.68</v>
      </c>
      <c r="HB57">
        <v>0.03</v>
      </c>
      <c r="HC57">
        <v>49.2</v>
      </c>
      <c r="HD57">
        <v>41.1</v>
      </c>
      <c r="HE57">
        <v>87.3</v>
      </c>
      <c r="HF57">
        <v>0.18</v>
      </c>
      <c r="HG57">
        <v>6.09</v>
      </c>
      <c r="HH57">
        <v>7.97</v>
      </c>
      <c r="HI57">
        <v>73.8</v>
      </c>
      <c r="HJ57">
        <v>40.5</v>
      </c>
      <c r="HK57">
        <v>5.94</v>
      </c>
      <c r="HL57">
        <v>37.700000000000003</v>
      </c>
      <c r="HM57">
        <v>29.9</v>
      </c>
      <c r="HN57">
        <v>26.2</v>
      </c>
      <c r="HO57">
        <v>46.5</v>
      </c>
      <c r="HP57">
        <v>33.700000000000003</v>
      </c>
      <c r="HQ57">
        <v>17.899999999999999</v>
      </c>
      <c r="HR57">
        <v>34.700000000000003</v>
      </c>
      <c r="HS57">
        <v>13.8</v>
      </c>
      <c r="HT57">
        <v>37.5</v>
      </c>
      <c r="HU57">
        <v>9.25</v>
      </c>
      <c r="HV57">
        <v>48.7</v>
      </c>
      <c r="HW57">
        <v>3.22</v>
      </c>
      <c r="HX57">
        <v>37.6</v>
      </c>
      <c r="HY57">
        <v>10.5</v>
      </c>
      <c r="HZ57">
        <v>32.299999999999997</v>
      </c>
      <c r="IA57">
        <v>2.89</v>
      </c>
      <c r="IB57">
        <v>12.9</v>
      </c>
      <c r="IC57">
        <v>56.4</v>
      </c>
      <c r="ID57">
        <v>27.9</v>
      </c>
      <c r="IE57">
        <v>6.34</v>
      </c>
      <c r="IF57">
        <v>3.18</v>
      </c>
      <c r="IG57">
        <v>24.9</v>
      </c>
      <c r="IH57">
        <v>57.7</v>
      </c>
      <c r="II57">
        <v>6.6</v>
      </c>
      <c r="IJ57">
        <v>9.85</v>
      </c>
      <c r="IK57">
        <v>9.77</v>
      </c>
      <c r="IL57">
        <v>1.32</v>
      </c>
      <c r="IM57">
        <v>0.78</v>
      </c>
      <c r="IN57">
        <v>26.3</v>
      </c>
      <c r="IO57">
        <v>3.3</v>
      </c>
      <c r="IP57">
        <v>84</v>
      </c>
      <c r="IQ57">
        <v>14</v>
      </c>
      <c r="IR57">
        <v>1.92</v>
      </c>
      <c r="IS57">
        <v>58.2</v>
      </c>
      <c r="IT57">
        <v>13.8</v>
      </c>
      <c r="IU57">
        <v>70.400000000000006</v>
      </c>
      <c r="IV57">
        <v>2.2799999999999998</v>
      </c>
      <c r="IW57">
        <v>20</v>
      </c>
      <c r="IX57">
        <v>1.02</v>
      </c>
      <c r="IY57">
        <v>5.26</v>
      </c>
      <c r="IZ57">
        <v>48.2</v>
      </c>
      <c r="JA57">
        <v>80.3</v>
      </c>
      <c r="JB57">
        <v>0.14000000000000001</v>
      </c>
      <c r="JC57">
        <v>1.41</v>
      </c>
      <c r="JD57">
        <v>14.8</v>
      </c>
      <c r="JE57">
        <v>38</v>
      </c>
      <c r="JF57">
        <v>413</v>
      </c>
      <c r="JG57">
        <v>427</v>
      </c>
      <c r="JH57">
        <v>311</v>
      </c>
      <c r="JI57">
        <v>429</v>
      </c>
      <c r="JJ57">
        <v>84.1</v>
      </c>
      <c r="JK57">
        <v>-2.34</v>
      </c>
    </row>
    <row r="58" spans="2:271" x14ac:dyDescent="0.2">
      <c r="B58" s="4" t="s">
        <v>398</v>
      </c>
      <c r="C58" s="4"/>
      <c r="E58">
        <v>52</v>
      </c>
      <c r="G58" s="4" t="s">
        <v>169</v>
      </c>
      <c r="J58" s="3"/>
      <c r="K58" s="3"/>
      <c r="GX58">
        <v>52</v>
      </c>
      <c r="GY58" s="4" t="s">
        <v>398</v>
      </c>
      <c r="GZ58" s="4">
        <v>8.17</v>
      </c>
      <c r="HA58" s="4">
        <v>8.93</v>
      </c>
      <c r="HB58" s="4">
        <v>0.31</v>
      </c>
      <c r="HC58" s="4">
        <v>30.6</v>
      </c>
      <c r="HD58" s="4">
        <v>60</v>
      </c>
      <c r="HE58" s="4">
        <v>70.400000000000006</v>
      </c>
      <c r="HF58" s="4">
        <v>0.13</v>
      </c>
      <c r="HG58" s="4">
        <v>1.02</v>
      </c>
      <c r="HH58" s="4">
        <v>2.5299999999999998</v>
      </c>
      <c r="HI58" s="4">
        <v>67</v>
      </c>
      <c r="HJ58" s="4">
        <v>37.200000000000003</v>
      </c>
      <c r="HK58" s="4">
        <v>2.48</v>
      </c>
      <c r="HL58" s="4">
        <v>43.9</v>
      </c>
      <c r="HM58" s="4">
        <v>24.1</v>
      </c>
      <c r="HN58" s="4">
        <v>25.5</v>
      </c>
      <c r="HO58" s="4">
        <v>45.5</v>
      </c>
      <c r="HP58" s="4">
        <v>31.6</v>
      </c>
      <c r="HQ58" s="4">
        <v>12.7</v>
      </c>
      <c r="HR58" s="4">
        <v>48.7</v>
      </c>
      <c r="HS58" s="4">
        <v>7.07</v>
      </c>
      <c r="HT58" s="4">
        <v>43.2</v>
      </c>
      <c r="HU58" s="4">
        <v>7.35</v>
      </c>
      <c r="HV58" s="4">
        <v>36.9</v>
      </c>
      <c r="HW58" s="4">
        <v>6.94</v>
      </c>
      <c r="HX58" s="4">
        <v>39.6</v>
      </c>
      <c r="HY58" s="4">
        <v>16.5</v>
      </c>
      <c r="HZ58" s="4">
        <v>27.7</v>
      </c>
      <c r="IA58" s="4">
        <v>3.18</v>
      </c>
      <c r="IB58" s="4">
        <v>15.9</v>
      </c>
      <c r="IC58" s="4">
        <v>68.8</v>
      </c>
      <c r="ID58" s="4">
        <v>10.6</v>
      </c>
      <c r="IE58" s="4">
        <v>19.399999999999999</v>
      </c>
      <c r="IF58" s="4">
        <v>11.1</v>
      </c>
      <c r="IG58" s="4">
        <v>33.9</v>
      </c>
      <c r="IH58" s="4">
        <v>46.6</v>
      </c>
      <c r="II58" s="4">
        <v>5.47</v>
      </c>
      <c r="IJ58" s="4">
        <v>14.9</v>
      </c>
      <c r="IK58" s="4">
        <v>12.1</v>
      </c>
      <c r="IL58" s="4">
        <v>0.42</v>
      </c>
      <c r="IM58" s="4">
        <v>1.1000000000000001</v>
      </c>
      <c r="IN58" s="4">
        <v>2.25</v>
      </c>
      <c r="IO58" s="4">
        <v>1.0900000000000001</v>
      </c>
      <c r="IP58" s="4">
        <v>68.099999999999994</v>
      </c>
      <c r="IQ58" s="4">
        <v>30.4</v>
      </c>
      <c r="IR58" s="4">
        <v>1.46</v>
      </c>
      <c r="IS58" s="4">
        <v>76.099999999999994</v>
      </c>
      <c r="IT58" s="4">
        <v>22.5</v>
      </c>
      <c r="IU58" s="4">
        <v>66.900000000000006</v>
      </c>
      <c r="IV58" s="4">
        <v>4.0599999999999996</v>
      </c>
      <c r="IW58" s="4">
        <v>27.9</v>
      </c>
      <c r="IX58" s="4">
        <v>3.08</v>
      </c>
      <c r="IY58" s="4">
        <v>13.8</v>
      </c>
      <c r="IZ58" s="4">
        <v>76.5</v>
      </c>
      <c r="JA58" s="4">
        <v>88.7</v>
      </c>
      <c r="JB58" s="4">
        <v>3.16</v>
      </c>
      <c r="JC58" s="4">
        <v>4.6100000000000003</v>
      </c>
      <c r="JD58" s="4">
        <v>24.8</v>
      </c>
      <c r="JE58" s="4">
        <v>-67.3</v>
      </c>
      <c r="JF58" s="4">
        <v>243</v>
      </c>
      <c r="JG58" s="4">
        <v>212</v>
      </c>
      <c r="JH58" s="4">
        <v>230</v>
      </c>
      <c r="JI58" s="4">
        <v>367</v>
      </c>
      <c r="JJ58" s="4">
        <v>134</v>
      </c>
      <c r="JK58" s="4">
        <v>-11.2</v>
      </c>
    </row>
    <row r="59" spans="2:271" x14ac:dyDescent="0.2">
      <c r="B59" t="s">
        <v>389</v>
      </c>
      <c r="C59" s="4"/>
      <c r="E59">
        <v>25</v>
      </c>
      <c r="G59" s="4" t="s">
        <v>169</v>
      </c>
      <c r="J59" s="3"/>
      <c r="K59" s="3"/>
      <c r="GX59">
        <v>25</v>
      </c>
      <c r="GY59" t="s">
        <v>389</v>
      </c>
      <c r="GZ59">
        <v>8.27</v>
      </c>
      <c r="HA59">
        <v>6.41</v>
      </c>
      <c r="HB59">
        <v>1.46</v>
      </c>
      <c r="HC59">
        <v>55.7</v>
      </c>
      <c r="HD59">
        <v>36.4</v>
      </c>
      <c r="HE59">
        <v>75.400000000000006</v>
      </c>
      <c r="HF59">
        <v>6.4000000000000001E-2</v>
      </c>
      <c r="HG59">
        <v>3.71</v>
      </c>
      <c r="HH59">
        <v>12.1</v>
      </c>
      <c r="HI59">
        <v>60.4</v>
      </c>
      <c r="HJ59">
        <v>37.6</v>
      </c>
      <c r="HK59">
        <v>6.01</v>
      </c>
      <c r="HL59">
        <v>36.6</v>
      </c>
      <c r="HM59">
        <v>41.4</v>
      </c>
      <c r="HN59">
        <v>14</v>
      </c>
      <c r="HO59">
        <v>37.9</v>
      </c>
      <c r="HP59">
        <v>40.700000000000003</v>
      </c>
      <c r="HQ59">
        <v>0.77</v>
      </c>
      <c r="HR59">
        <v>57.6</v>
      </c>
      <c r="HS59">
        <v>0.98</v>
      </c>
      <c r="HT59">
        <v>37.6</v>
      </c>
      <c r="HU59">
        <v>18.3</v>
      </c>
      <c r="HV59">
        <v>52.6</v>
      </c>
      <c r="HW59">
        <v>0.52</v>
      </c>
      <c r="HX59">
        <v>46</v>
      </c>
      <c r="HY59">
        <v>0.91</v>
      </c>
      <c r="HZ59">
        <v>21.1</v>
      </c>
      <c r="IA59">
        <v>7.08</v>
      </c>
      <c r="IB59">
        <v>13.5</v>
      </c>
      <c r="IC59">
        <v>14.3</v>
      </c>
      <c r="ID59">
        <v>65</v>
      </c>
      <c r="IE59">
        <v>17.3</v>
      </c>
      <c r="IF59">
        <v>10.3</v>
      </c>
      <c r="IG59">
        <v>18.3</v>
      </c>
      <c r="IH59">
        <v>61.8</v>
      </c>
      <c r="II59">
        <v>5.84</v>
      </c>
      <c r="IJ59">
        <v>15.9</v>
      </c>
      <c r="IK59">
        <v>14.9</v>
      </c>
      <c r="IL59">
        <v>1.01</v>
      </c>
      <c r="IM59">
        <v>1.2</v>
      </c>
      <c r="IN59">
        <v>3.56</v>
      </c>
      <c r="IO59">
        <v>10.7</v>
      </c>
      <c r="IP59">
        <v>88.1</v>
      </c>
      <c r="IQ59">
        <v>10</v>
      </c>
      <c r="IR59">
        <v>1.66</v>
      </c>
      <c r="IS59">
        <v>82.9</v>
      </c>
      <c r="IT59">
        <v>3.41</v>
      </c>
      <c r="IU59">
        <v>57.4</v>
      </c>
      <c r="IV59">
        <v>7.77</v>
      </c>
      <c r="IW59">
        <v>31.2</v>
      </c>
      <c r="IX59">
        <v>0.63</v>
      </c>
      <c r="IY59">
        <v>8.5</v>
      </c>
      <c r="IZ59">
        <v>50.8</v>
      </c>
      <c r="JA59">
        <v>52.1</v>
      </c>
      <c r="JB59">
        <v>0.28999999999999998</v>
      </c>
      <c r="JC59">
        <v>1.31</v>
      </c>
      <c r="JD59">
        <v>3.94</v>
      </c>
      <c r="JE59">
        <v>33.9</v>
      </c>
      <c r="JF59">
        <v>353</v>
      </c>
      <c r="JG59">
        <v>396</v>
      </c>
      <c r="JH59">
        <v>367</v>
      </c>
      <c r="JI59">
        <v>499</v>
      </c>
      <c r="JJ59">
        <v>214</v>
      </c>
      <c r="JK59">
        <v>-1.08</v>
      </c>
    </row>
    <row r="60" spans="2:271" x14ac:dyDescent="0.2">
      <c r="B60" s="19" t="s">
        <v>404</v>
      </c>
      <c r="E60" s="3">
        <v>23.547945205479451</v>
      </c>
      <c r="G60" t="s">
        <v>163</v>
      </c>
      <c r="J60" s="3"/>
      <c r="K60" s="3"/>
      <c r="GX60" s="3">
        <v>23.547945205479451</v>
      </c>
      <c r="GY60" s="19" t="s">
        <v>404</v>
      </c>
      <c r="GZ60" s="20">
        <v>4.5199999999999996</v>
      </c>
      <c r="HA60" s="20">
        <v>8.16</v>
      </c>
      <c r="HB60">
        <v>0.14000000000000057</v>
      </c>
      <c r="HC60" s="20">
        <v>55</v>
      </c>
      <c r="HD60" s="20">
        <v>36.700000000000003</v>
      </c>
      <c r="HE60" s="20">
        <v>85.1</v>
      </c>
      <c r="HF60" s="20">
        <v>3.4000000000000002E-2</v>
      </c>
      <c r="HG60" s="20">
        <v>2.31</v>
      </c>
      <c r="HH60" s="20">
        <v>2.35</v>
      </c>
      <c r="HI60" s="20">
        <v>80.3</v>
      </c>
      <c r="HJ60" s="20">
        <v>43</v>
      </c>
      <c r="HK60" s="20">
        <v>4.17</v>
      </c>
      <c r="HL60" s="20">
        <v>46.4</v>
      </c>
      <c r="HM60" s="20">
        <v>33.200000000000003</v>
      </c>
      <c r="HN60" s="20">
        <v>13.1</v>
      </c>
      <c r="HO60" s="20">
        <v>42.2</v>
      </c>
      <c r="HP60" s="20">
        <v>20.7</v>
      </c>
      <c r="HQ60" s="20">
        <v>27.4</v>
      </c>
      <c r="HR60" s="20">
        <v>34.9</v>
      </c>
      <c r="HS60" s="20">
        <v>17</v>
      </c>
      <c r="HT60" s="20">
        <v>46.4</v>
      </c>
      <c r="HU60" s="20">
        <v>6.73</v>
      </c>
      <c r="HV60" s="20">
        <v>18.399999999999999</v>
      </c>
      <c r="HW60" s="20">
        <v>15.9</v>
      </c>
      <c r="HX60" s="20">
        <v>44.5</v>
      </c>
      <c r="HY60" s="20">
        <v>21.2</v>
      </c>
      <c r="HZ60" s="20">
        <v>36.1</v>
      </c>
      <c r="IA60" s="20">
        <v>10.3</v>
      </c>
      <c r="IB60" s="20">
        <v>24.3</v>
      </c>
      <c r="IC60" s="20">
        <v>27.6</v>
      </c>
      <c r="ID60" s="20">
        <v>37.799999999999997</v>
      </c>
      <c r="IE60" s="20">
        <v>8.8000000000000007</v>
      </c>
      <c r="IF60" s="20">
        <v>2.04</v>
      </c>
      <c r="IG60" s="20">
        <v>30</v>
      </c>
      <c r="IH60" s="20">
        <v>65.8</v>
      </c>
      <c r="II60" s="20">
        <v>1.86</v>
      </c>
      <c r="IJ60" s="20">
        <v>17.100000000000001</v>
      </c>
      <c r="IK60" s="20">
        <v>28.5</v>
      </c>
      <c r="IL60" s="20">
        <v>1.94</v>
      </c>
      <c r="IM60" s="20">
        <v>2.2799999999999998</v>
      </c>
      <c r="IN60" s="20">
        <v>4.96</v>
      </c>
      <c r="IO60" s="20">
        <v>24.1</v>
      </c>
      <c r="IP60" s="20">
        <v>55.7</v>
      </c>
      <c r="IQ60" s="20">
        <v>41.2</v>
      </c>
      <c r="IR60" s="20">
        <v>2.96</v>
      </c>
      <c r="IS60" s="20">
        <v>46.6</v>
      </c>
      <c r="IT60" s="20">
        <v>27.1</v>
      </c>
      <c r="IU60" s="20">
        <v>33.200000000000003</v>
      </c>
      <c r="IV60"/>
      <c r="IW60" s="20">
        <v>46.9</v>
      </c>
      <c r="IX60" s="20">
        <v>1.28</v>
      </c>
      <c r="IY60" s="20">
        <v>8.2200000000000006</v>
      </c>
      <c r="IZ60" s="20">
        <v>21.2</v>
      </c>
      <c r="JA60" s="20">
        <v>65.900000000000006</v>
      </c>
      <c r="JB60" s="20">
        <v>0.25</v>
      </c>
      <c r="JC60" s="20">
        <v>4.46</v>
      </c>
      <c r="JD60" s="20">
        <v>15.7</v>
      </c>
      <c r="JE60" s="20">
        <v>-53.2</v>
      </c>
      <c r="JF60" s="20">
        <v>423</v>
      </c>
      <c r="JG60" s="20">
        <v>618</v>
      </c>
      <c r="JH60" s="20">
        <v>307</v>
      </c>
      <c r="JI60" s="20">
        <v>597</v>
      </c>
      <c r="JJ60" s="20">
        <v>248</v>
      </c>
      <c r="JK60" s="20">
        <v>32.299999999999997</v>
      </c>
    </row>
    <row r="61" spans="2:271" x14ac:dyDescent="0.2">
      <c r="B61" s="19" t="s">
        <v>405</v>
      </c>
      <c r="E61" s="3">
        <v>21.306849315068494</v>
      </c>
      <c r="G61" t="s">
        <v>163</v>
      </c>
      <c r="J61" s="3"/>
      <c r="K61" s="3"/>
      <c r="GX61" s="3">
        <v>21.306849315068494</v>
      </c>
      <c r="GY61" s="19" t="s">
        <v>405</v>
      </c>
      <c r="GZ61" s="20">
        <v>11.9</v>
      </c>
      <c r="HA61" s="20">
        <v>3.18</v>
      </c>
      <c r="HB61">
        <v>1.9999999999996021E-2</v>
      </c>
      <c r="HC61" s="20">
        <v>56.2</v>
      </c>
      <c r="HD61" s="20">
        <v>40.6</v>
      </c>
      <c r="HE61" s="20">
        <v>78.400000000000006</v>
      </c>
      <c r="HF61" s="20">
        <v>3.5000000000000003E-2</v>
      </c>
      <c r="HG61" s="20">
        <v>0.6</v>
      </c>
      <c r="HH61" s="20">
        <v>4</v>
      </c>
      <c r="HI61" s="20">
        <v>73.8</v>
      </c>
      <c r="HJ61" s="20">
        <v>37.299999999999997</v>
      </c>
      <c r="HK61" s="20">
        <v>5.5</v>
      </c>
      <c r="HL61" s="20">
        <v>60.3</v>
      </c>
      <c r="HM61" s="20">
        <v>20.5</v>
      </c>
      <c r="HN61" s="20">
        <v>10.5</v>
      </c>
      <c r="HO61" s="20">
        <v>28.1</v>
      </c>
      <c r="HP61" s="20">
        <v>25.4</v>
      </c>
      <c r="HQ61" s="20">
        <v>12</v>
      </c>
      <c r="HR61" s="20">
        <v>52.9</v>
      </c>
      <c r="HS61" s="20">
        <v>9.7100000000000009</v>
      </c>
      <c r="HT61" s="20">
        <v>60.3</v>
      </c>
      <c r="HU61" s="20">
        <v>5.2</v>
      </c>
      <c r="HV61" s="20">
        <v>27.5</v>
      </c>
      <c r="HW61" s="20">
        <v>8.36</v>
      </c>
      <c r="HX61" s="20">
        <v>46.4</v>
      </c>
      <c r="HY61" s="20">
        <v>17.8</v>
      </c>
      <c r="HZ61" s="20">
        <v>35.200000000000003</v>
      </c>
      <c r="IA61" s="20">
        <v>5.51</v>
      </c>
      <c r="IB61" s="20">
        <v>38.4</v>
      </c>
      <c r="IC61" s="20">
        <v>25.9</v>
      </c>
      <c r="ID61" s="20">
        <v>30.2</v>
      </c>
      <c r="IE61" s="20">
        <v>4.4800000000000004</v>
      </c>
      <c r="IF61" s="20">
        <v>4.0599999999999996</v>
      </c>
      <c r="IG61" s="20">
        <v>14.1</v>
      </c>
      <c r="IH61" s="20">
        <v>74.099999999999994</v>
      </c>
      <c r="II61" s="20">
        <v>7.17</v>
      </c>
      <c r="IJ61" s="20">
        <v>14.6</v>
      </c>
      <c r="IK61" s="20">
        <v>17</v>
      </c>
      <c r="IL61" s="20">
        <v>2.16</v>
      </c>
      <c r="IM61" s="20">
        <v>0.85</v>
      </c>
      <c r="IN61" s="20">
        <v>3.91</v>
      </c>
      <c r="IO61" s="20">
        <v>5.77</v>
      </c>
      <c r="IP61" s="20">
        <v>35.6</v>
      </c>
      <c r="IQ61" s="20">
        <v>63.2</v>
      </c>
      <c r="IR61" s="20">
        <v>1.26</v>
      </c>
      <c r="IS61" s="20">
        <v>63.1</v>
      </c>
      <c r="IT61" s="20">
        <v>30.9</v>
      </c>
      <c r="IU61" s="20">
        <v>43.6</v>
      </c>
      <c r="IV61"/>
      <c r="IW61" s="20">
        <v>31.8</v>
      </c>
      <c r="IX61" s="20">
        <v>0.84</v>
      </c>
      <c r="IY61" s="20">
        <v>7.95</v>
      </c>
      <c r="IZ61" s="20">
        <v>29</v>
      </c>
      <c r="JA61" s="20">
        <v>48.4</v>
      </c>
      <c r="JB61" s="20">
        <v>0.11</v>
      </c>
      <c r="JC61" s="20">
        <v>2.8</v>
      </c>
      <c r="JD61" s="20">
        <v>9.5500000000000007</v>
      </c>
      <c r="JE61" s="20">
        <v>-13.1</v>
      </c>
      <c r="JF61" s="20">
        <v>602</v>
      </c>
      <c r="JG61" s="20">
        <v>744</v>
      </c>
      <c r="JH61" s="20">
        <v>632</v>
      </c>
      <c r="JI61" s="20">
        <v>761</v>
      </c>
      <c r="JJ61" s="20">
        <v>512</v>
      </c>
      <c r="JK61" s="20">
        <v>63.6</v>
      </c>
    </row>
    <row r="62" spans="2:271" x14ac:dyDescent="0.2">
      <c r="B62" s="19" t="s">
        <v>406</v>
      </c>
      <c r="E62" s="3">
        <v>35.969863013698628</v>
      </c>
      <c r="G62" t="s">
        <v>163</v>
      </c>
      <c r="J62" s="3"/>
      <c r="K62" s="3"/>
      <c r="GX62" s="3">
        <v>35.969863013698628</v>
      </c>
      <c r="GY62" s="19" t="s">
        <v>406</v>
      </c>
      <c r="GZ62" s="20">
        <v>17.7</v>
      </c>
      <c r="HA62" s="20">
        <v>1.35</v>
      </c>
      <c r="HB62">
        <v>0.01</v>
      </c>
      <c r="HC62" s="20">
        <v>39.799999999999997</v>
      </c>
      <c r="HD62" s="20">
        <v>58.9</v>
      </c>
      <c r="HE62" s="20">
        <v>71.7</v>
      </c>
      <c r="HF62" s="20">
        <v>1.9E-2</v>
      </c>
      <c r="HG62" s="20">
        <v>2.19</v>
      </c>
      <c r="HH62" s="20">
        <v>11.2</v>
      </c>
      <c r="HI62" s="20">
        <v>58</v>
      </c>
      <c r="HJ62" s="20">
        <v>27.2</v>
      </c>
      <c r="HK62" s="20">
        <v>7.92</v>
      </c>
      <c r="HL62" s="20">
        <v>52.1</v>
      </c>
      <c r="HM62" s="20">
        <v>20.9</v>
      </c>
      <c r="HN62" s="20">
        <v>13.8</v>
      </c>
      <c r="HO62" s="20">
        <v>30.3</v>
      </c>
      <c r="HP62" s="20">
        <v>59.8</v>
      </c>
      <c r="HQ62" s="20">
        <v>5.51</v>
      </c>
      <c r="HR62" s="20">
        <v>25.7</v>
      </c>
      <c r="HS62" s="20">
        <v>8.9499999999999993</v>
      </c>
      <c r="HT62" s="20">
        <v>52.1</v>
      </c>
      <c r="HU62" s="20">
        <v>7.26</v>
      </c>
      <c r="HV62" s="20">
        <v>41</v>
      </c>
      <c r="HW62" s="20">
        <v>2.06</v>
      </c>
      <c r="HX62" s="20">
        <v>51.2</v>
      </c>
      <c r="HY62" s="20">
        <v>5.74</v>
      </c>
      <c r="HZ62" s="20">
        <v>30.2</v>
      </c>
      <c r="IA62" s="20">
        <v>1.86</v>
      </c>
      <c r="IB62" s="20">
        <v>7.31</v>
      </c>
      <c r="IC62" s="20">
        <v>53</v>
      </c>
      <c r="ID62" s="20">
        <v>37.799999999999997</v>
      </c>
      <c r="IE62" s="20">
        <v>9.26</v>
      </c>
      <c r="IF62" s="20">
        <v>3.87</v>
      </c>
      <c r="IG62" s="20">
        <v>24.4</v>
      </c>
      <c r="IH62" s="20">
        <v>58.9</v>
      </c>
      <c r="II62" s="20">
        <v>11.8</v>
      </c>
      <c r="IJ62" s="20">
        <v>19.2</v>
      </c>
      <c r="IK62" s="20">
        <v>28.6</v>
      </c>
      <c r="IL62" s="20">
        <v>1.32</v>
      </c>
      <c r="IM62" s="20">
        <v>1.73</v>
      </c>
      <c r="IN62" s="20">
        <v>3.66</v>
      </c>
      <c r="IO62" s="20">
        <v>3.12</v>
      </c>
      <c r="IP62" s="20">
        <v>51.7</v>
      </c>
      <c r="IQ62" s="20">
        <v>46.5</v>
      </c>
      <c r="IR62" s="20">
        <v>1.75</v>
      </c>
      <c r="IS62" s="20">
        <v>66.5</v>
      </c>
      <c r="IT62" s="20">
        <v>30.1</v>
      </c>
      <c r="IU62" s="20">
        <v>42.8</v>
      </c>
      <c r="IV62"/>
      <c r="IW62" s="20">
        <v>47.4</v>
      </c>
      <c r="IX62" s="20">
        <v>1.1100000000000001</v>
      </c>
      <c r="IY62" s="20">
        <v>7.42</v>
      </c>
      <c r="IZ62" s="20">
        <v>57.3</v>
      </c>
      <c r="JA62" s="20">
        <v>84.5</v>
      </c>
      <c r="JB62" s="20">
        <v>0.16</v>
      </c>
      <c r="JC62" s="20">
        <v>1.82</v>
      </c>
      <c r="JD62" s="20">
        <v>32.700000000000003</v>
      </c>
      <c r="JE62" s="20">
        <v>-19.5</v>
      </c>
      <c r="JF62" s="20">
        <v>440</v>
      </c>
      <c r="JG62" s="20">
        <v>630</v>
      </c>
      <c r="JH62" s="20">
        <v>735</v>
      </c>
      <c r="JI62" s="20">
        <v>507</v>
      </c>
      <c r="JJ62" s="20">
        <v>212</v>
      </c>
      <c r="JK62" s="20">
        <v>101</v>
      </c>
    </row>
    <row r="63" spans="2:271" x14ac:dyDescent="0.2">
      <c r="B63" s="19" t="s">
        <v>407</v>
      </c>
      <c r="E63" s="3">
        <v>32.884931506849313</v>
      </c>
      <c r="G63" t="s">
        <v>163</v>
      </c>
      <c r="J63" s="3"/>
      <c r="K63" s="3"/>
      <c r="GX63" s="3">
        <v>32.884931506849313</v>
      </c>
      <c r="GY63" s="19" t="s">
        <v>407</v>
      </c>
      <c r="GZ63" s="20">
        <v>11.8</v>
      </c>
      <c r="HA63" s="20">
        <v>6.27</v>
      </c>
      <c r="HB63">
        <v>3.0000000000001137E-2</v>
      </c>
      <c r="HC63" s="20">
        <v>49.1</v>
      </c>
      <c r="HD63" s="20">
        <v>44.6</v>
      </c>
      <c r="HE63" s="20">
        <v>77.2</v>
      </c>
      <c r="HF63" s="20">
        <v>1.2999999999999999E-2</v>
      </c>
      <c r="HG63" s="20">
        <v>3.33</v>
      </c>
      <c r="HH63" s="20">
        <v>2.0299999999999998</v>
      </c>
      <c r="HI63" s="20">
        <v>71.599999999999994</v>
      </c>
      <c r="HJ63" s="20">
        <v>39.299999999999997</v>
      </c>
      <c r="HK63" s="20">
        <v>4</v>
      </c>
      <c r="HL63" s="20">
        <v>15</v>
      </c>
      <c r="HM63" s="20">
        <v>53.8</v>
      </c>
      <c r="HN63" s="20">
        <v>23.6</v>
      </c>
      <c r="HO63" s="20">
        <v>75.599999999999994</v>
      </c>
      <c r="HP63" s="20">
        <v>67.900000000000006</v>
      </c>
      <c r="HQ63" s="20">
        <v>3.51</v>
      </c>
      <c r="HR63" s="20">
        <v>11</v>
      </c>
      <c r="HS63" s="20">
        <v>17.600000000000001</v>
      </c>
      <c r="HT63" s="20">
        <v>15</v>
      </c>
      <c r="HU63" s="20">
        <v>5.04</v>
      </c>
      <c r="HV63" s="20">
        <v>51.9</v>
      </c>
      <c r="HW63" s="20">
        <v>2.46</v>
      </c>
      <c r="HX63" s="20">
        <v>37.200000000000003</v>
      </c>
      <c r="HY63" s="20">
        <v>8.4600000000000009</v>
      </c>
      <c r="HZ63" s="20">
        <v>29.8</v>
      </c>
      <c r="IA63" s="20">
        <v>15.4</v>
      </c>
      <c r="IB63" s="20">
        <v>18.899999999999999</v>
      </c>
      <c r="IC63" s="20">
        <v>46.5</v>
      </c>
      <c r="ID63" s="20">
        <v>19.2</v>
      </c>
      <c r="IE63" s="20">
        <v>8.84</v>
      </c>
      <c r="IF63" s="20">
        <v>4.4000000000000004</v>
      </c>
      <c r="IG63" s="20">
        <v>41.3</v>
      </c>
      <c r="IH63" s="20">
        <v>49.4</v>
      </c>
      <c r="II63" s="20">
        <v>4.8</v>
      </c>
      <c r="IJ63" s="20">
        <v>9.11</v>
      </c>
      <c r="IK63" s="20">
        <v>11.8</v>
      </c>
      <c r="IL63" s="20">
        <v>1.95</v>
      </c>
      <c r="IM63" s="20">
        <v>2.3199999999999998</v>
      </c>
      <c r="IN63" s="20">
        <v>2.93</v>
      </c>
      <c r="IO63" s="20">
        <v>5.65</v>
      </c>
      <c r="IP63" s="20">
        <v>66.8</v>
      </c>
      <c r="IQ63" s="20">
        <v>30</v>
      </c>
      <c r="IR63" s="20">
        <v>2.97</v>
      </c>
      <c r="IS63" s="20">
        <v>73.2</v>
      </c>
      <c r="IT63" s="20">
        <v>19.5</v>
      </c>
      <c r="IU63" s="20">
        <v>53.4</v>
      </c>
      <c r="IV63"/>
      <c r="IW63" s="20">
        <v>23.7</v>
      </c>
      <c r="IX63" s="20">
        <v>3.29</v>
      </c>
      <c r="IY63" s="20">
        <v>5.23</v>
      </c>
      <c r="IZ63" s="20">
        <v>46</v>
      </c>
      <c r="JA63" s="20">
        <v>90</v>
      </c>
      <c r="JB63" s="20">
        <v>0.15</v>
      </c>
      <c r="JC63" s="20">
        <v>1.72</v>
      </c>
      <c r="JD63" s="20">
        <v>6.96</v>
      </c>
      <c r="JE63" s="20">
        <v>24.5</v>
      </c>
      <c r="JF63" s="20">
        <v>373</v>
      </c>
      <c r="JG63" s="20">
        <v>333</v>
      </c>
      <c r="JH63" s="20">
        <v>390</v>
      </c>
      <c r="JI63" s="20">
        <v>521</v>
      </c>
      <c r="JJ63" s="20">
        <v>231</v>
      </c>
      <c r="JK63" s="20">
        <v>120</v>
      </c>
    </row>
    <row r="64" spans="2:271" x14ac:dyDescent="0.2">
      <c r="B64" s="19" t="s">
        <v>408</v>
      </c>
      <c r="E64" s="3">
        <v>52.356164383561641</v>
      </c>
      <c r="G64" t="s">
        <v>163</v>
      </c>
      <c r="J64" s="3"/>
      <c r="K64" s="3"/>
      <c r="GX64" s="3">
        <v>52.356164383561641</v>
      </c>
      <c r="GY64" s="19" t="s">
        <v>408</v>
      </c>
      <c r="GZ64" s="20">
        <v>6.07</v>
      </c>
      <c r="HA64" s="20">
        <v>9.4499999999999993</v>
      </c>
      <c r="HB64">
        <v>0.04</v>
      </c>
      <c r="HC64" s="20">
        <v>34.6</v>
      </c>
      <c r="HD64" s="20">
        <v>56</v>
      </c>
      <c r="HE64" s="20">
        <v>83.9</v>
      </c>
      <c r="HF64" s="20">
        <v>2.4E-2</v>
      </c>
      <c r="HG64" s="20">
        <v>1.18</v>
      </c>
      <c r="HH64" s="20">
        <v>0.73</v>
      </c>
      <c r="HI64" s="20">
        <v>81.8</v>
      </c>
      <c r="HJ64" s="20">
        <v>72.5</v>
      </c>
      <c r="HK64" s="20">
        <v>5.52</v>
      </c>
      <c r="HL64" s="20">
        <v>58.9</v>
      </c>
      <c r="HM64" s="20">
        <v>28.5</v>
      </c>
      <c r="HN64" s="20">
        <v>4.8099999999999996</v>
      </c>
      <c r="HO64" s="20">
        <v>31.3</v>
      </c>
      <c r="HP64" s="20">
        <v>62.5</v>
      </c>
      <c r="HQ64" s="20">
        <v>6.37</v>
      </c>
      <c r="HR64" s="20">
        <v>25.1</v>
      </c>
      <c r="HS64" s="20">
        <v>6.01</v>
      </c>
      <c r="HT64" s="20">
        <v>58.9</v>
      </c>
      <c r="HU64" s="20">
        <v>2.95</v>
      </c>
      <c r="HV64" s="20">
        <v>55</v>
      </c>
      <c r="HW64" s="20">
        <v>2.2000000000000002</v>
      </c>
      <c r="HX64" s="20">
        <v>32</v>
      </c>
      <c r="HY64" s="20">
        <v>10.8</v>
      </c>
      <c r="HZ64" s="20">
        <v>8.7200000000000006</v>
      </c>
      <c r="IA64" s="20">
        <v>20</v>
      </c>
      <c r="IB64" s="20">
        <v>12</v>
      </c>
      <c r="IC64" s="20">
        <v>28.7</v>
      </c>
      <c r="ID64" s="20">
        <v>39.299999999999997</v>
      </c>
      <c r="IE64" s="20">
        <v>8.19</v>
      </c>
      <c r="IF64" s="20">
        <v>1.78</v>
      </c>
      <c r="IG64" s="20">
        <v>15.1</v>
      </c>
      <c r="IH64" s="20">
        <v>77.2</v>
      </c>
      <c r="II64" s="20">
        <v>5.81</v>
      </c>
      <c r="IJ64" s="20">
        <v>16.899999999999999</v>
      </c>
      <c r="IK64" s="20">
        <v>26.6</v>
      </c>
      <c r="IL64" s="20">
        <v>1.1100000000000001</v>
      </c>
      <c r="IM64" s="20">
        <v>0.49</v>
      </c>
      <c r="IN64" s="20">
        <v>2.9</v>
      </c>
      <c r="IO64" s="20">
        <v>3.57</v>
      </c>
      <c r="IP64" s="20">
        <v>83.2</v>
      </c>
      <c r="IQ64" s="20">
        <v>16.100000000000001</v>
      </c>
      <c r="IR64" s="20">
        <v>0.62</v>
      </c>
      <c r="IS64" s="20">
        <v>85.3</v>
      </c>
      <c r="IT64" s="20">
        <v>11.4</v>
      </c>
      <c r="IU64" s="20">
        <v>46.7</v>
      </c>
      <c r="IV64"/>
      <c r="IW64" s="20">
        <v>42.6</v>
      </c>
      <c r="IX64" s="20">
        <v>1.77</v>
      </c>
      <c r="IY64" s="20">
        <v>8.9499999999999993</v>
      </c>
      <c r="IZ64" s="20">
        <v>60.9</v>
      </c>
      <c r="JA64" s="20">
        <v>91.8</v>
      </c>
      <c r="JB64" s="20">
        <v>0.39</v>
      </c>
      <c r="JC64" s="20">
        <v>4.3499999999999996</v>
      </c>
      <c r="JD64" s="20">
        <v>23.9</v>
      </c>
      <c r="JE64" s="20">
        <v>-20</v>
      </c>
      <c r="JF64" s="20">
        <v>290</v>
      </c>
      <c r="JG64" s="20">
        <v>277</v>
      </c>
      <c r="JH64" s="20">
        <v>344</v>
      </c>
      <c r="JI64" s="20">
        <v>750</v>
      </c>
      <c r="JJ64" s="20">
        <v>196</v>
      </c>
      <c r="JK64" s="20">
        <v>57.3</v>
      </c>
    </row>
    <row r="65" spans="2:271" x14ac:dyDescent="0.2">
      <c r="B65" s="19" t="s">
        <v>409</v>
      </c>
      <c r="E65" s="3">
        <v>22.452054794520549</v>
      </c>
      <c r="G65" s="4" t="s">
        <v>169</v>
      </c>
      <c r="J65" s="3"/>
      <c r="K65" s="3"/>
      <c r="GX65" s="3">
        <v>22.452054794520549</v>
      </c>
      <c r="GY65" s="19" t="s">
        <v>409</v>
      </c>
      <c r="GZ65" s="20">
        <v>10.4</v>
      </c>
      <c r="HA65" s="20">
        <v>5.85</v>
      </c>
      <c r="HB65">
        <v>4.9999999999997158E-2</v>
      </c>
      <c r="HC65" s="20">
        <v>41</v>
      </c>
      <c r="HD65" s="20">
        <v>53.1</v>
      </c>
      <c r="HE65" s="20">
        <v>74.5</v>
      </c>
      <c r="HF65" s="20">
        <v>0.12</v>
      </c>
      <c r="HG65" s="20">
        <v>5.96</v>
      </c>
      <c r="HH65" s="20">
        <v>8.2799999999999994</v>
      </c>
      <c r="HI65" s="20">
        <v>59.9</v>
      </c>
      <c r="HJ65" s="20">
        <v>42</v>
      </c>
      <c r="HK65" s="20">
        <v>6.3</v>
      </c>
      <c r="HL65" s="20">
        <v>55.1</v>
      </c>
      <c r="HM65" s="20">
        <v>23.2</v>
      </c>
      <c r="HN65" s="20">
        <v>9.5299999999999994</v>
      </c>
      <c r="HO65" s="20">
        <v>32.4</v>
      </c>
      <c r="HP65" s="20">
        <v>58.1</v>
      </c>
      <c r="HQ65" s="20">
        <v>8.41</v>
      </c>
      <c r="HR65" s="20">
        <v>12</v>
      </c>
      <c r="HS65" s="20">
        <v>21.5</v>
      </c>
      <c r="HT65" s="20">
        <v>55.1</v>
      </c>
      <c r="HU65" s="20">
        <v>4.99</v>
      </c>
      <c r="HV65" s="20">
        <v>53.7</v>
      </c>
      <c r="HW65" s="20">
        <v>3.04</v>
      </c>
      <c r="HX65" s="20">
        <v>30.6</v>
      </c>
      <c r="HY65" s="20">
        <v>12.7</v>
      </c>
      <c r="HZ65" s="20">
        <v>16.600000000000001</v>
      </c>
      <c r="IA65" s="20">
        <v>3.01</v>
      </c>
      <c r="IB65" s="20">
        <v>10.7</v>
      </c>
      <c r="IC65" s="20">
        <v>14</v>
      </c>
      <c r="ID65" s="20">
        <v>72.3</v>
      </c>
      <c r="IE65" s="20">
        <v>12.6</v>
      </c>
      <c r="IF65" s="20">
        <v>2.5</v>
      </c>
      <c r="IG65" s="20">
        <v>32.1</v>
      </c>
      <c r="IH65" s="20">
        <v>48.1</v>
      </c>
      <c r="II65" s="20">
        <v>17.3</v>
      </c>
      <c r="IJ65" s="20">
        <v>14.6</v>
      </c>
      <c r="IK65" s="20">
        <v>27.4</v>
      </c>
      <c r="IL65" s="20">
        <v>1.23</v>
      </c>
      <c r="IM65" s="20">
        <v>2.0499999999999998</v>
      </c>
      <c r="IN65" s="20">
        <v>2.15</v>
      </c>
      <c r="IO65" s="20">
        <v>4.7</v>
      </c>
      <c r="IP65" s="20">
        <v>70.3</v>
      </c>
      <c r="IQ65" s="20">
        <v>27.1</v>
      </c>
      <c r="IR65" s="20">
        <v>2.5299999999999998</v>
      </c>
      <c r="IS65" s="20">
        <v>70</v>
      </c>
      <c r="IT65" s="20">
        <v>25.3</v>
      </c>
      <c r="IU65" s="20">
        <v>47.6</v>
      </c>
      <c r="IV65"/>
      <c r="IW65" s="20">
        <v>41.6</v>
      </c>
      <c r="IX65" s="20">
        <v>0.82</v>
      </c>
      <c r="IY65" s="20">
        <v>9.19</v>
      </c>
      <c r="IZ65" s="20">
        <v>64.900000000000006</v>
      </c>
      <c r="JA65" s="20">
        <v>55.6</v>
      </c>
      <c r="JB65" s="20">
        <v>0.39</v>
      </c>
      <c r="JC65" s="20">
        <v>3.92</v>
      </c>
      <c r="JD65" s="20">
        <v>6.3</v>
      </c>
      <c r="JE65" s="20">
        <v>-1.2E-2</v>
      </c>
      <c r="JF65" s="20">
        <v>272</v>
      </c>
      <c r="JG65" s="20">
        <v>381</v>
      </c>
      <c r="JH65" s="20">
        <v>412</v>
      </c>
      <c r="JI65" s="20">
        <v>809</v>
      </c>
      <c r="JJ65" s="20">
        <v>360</v>
      </c>
      <c r="JK65" s="20">
        <v>32.299999999999997</v>
      </c>
    </row>
    <row r="66" spans="2:271" x14ac:dyDescent="0.2">
      <c r="J66" s="3"/>
      <c r="K66" s="3"/>
    </row>
    <row r="67" spans="2:271" x14ac:dyDescent="0.2">
      <c r="J67" s="3"/>
      <c r="K67" s="3"/>
    </row>
    <row r="68" spans="2:271" x14ac:dyDescent="0.2">
      <c r="J68" s="3"/>
      <c r="K68" s="3"/>
    </row>
    <row r="69" spans="2:271" x14ac:dyDescent="0.2">
      <c r="J69" s="3"/>
      <c r="K69" s="3"/>
      <c r="ER69"/>
      <c r="GY69" s="5"/>
      <c r="GZ69"/>
      <c r="HA69" s="5"/>
      <c r="JK69"/>
    </row>
    <row r="70" spans="2:271" x14ac:dyDescent="0.2">
      <c r="J70" s="3"/>
      <c r="K70" s="3"/>
      <c r="AC70" s="3"/>
      <c r="AD70" s="3"/>
      <c r="AE70" s="3"/>
      <c r="ER70"/>
      <c r="GY70" s="5"/>
      <c r="GZ70"/>
      <c r="HA70" s="5"/>
      <c r="JK70"/>
    </row>
    <row r="71" spans="2:271" x14ac:dyDescent="0.2">
      <c r="J71" s="3"/>
      <c r="K71" s="3"/>
      <c r="AC71" s="3"/>
      <c r="AD71" s="3"/>
      <c r="AE71" s="3"/>
      <c r="ER71"/>
      <c r="GY71" s="5"/>
      <c r="GZ71"/>
      <c r="HA71" s="5"/>
      <c r="JK71"/>
    </row>
    <row r="72" spans="2:271" x14ac:dyDescent="0.2">
      <c r="J72" s="3"/>
      <c r="K72" s="3"/>
      <c r="AC72" s="3"/>
      <c r="AD72" s="3"/>
      <c r="AE72" s="3"/>
      <c r="ER72"/>
      <c r="GY72" s="5"/>
      <c r="GZ72"/>
      <c r="HA72" s="5"/>
      <c r="JK72"/>
    </row>
    <row r="73" spans="2:271" x14ac:dyDescent="0.2">
      <c r="J73" s="3"/>
      <c r="K73" s="3"/>
      <c r="AC73" s="3"/>
      <c r="AD73" s="3"/>
      <c r="AE73" s="3"/>
      <c r="ER73"/>
      <c r="GY73" s="5"/>
      <c r="GZ73"/>
      <c r="HA73" s="5"/>
      <c r="JK73"/>
    </row>
    <row r="74" spans="2:271" x14ac:dyDescent="0.2">
      <c r="J74" s="3"/>
      <c r="K74" s="3"/>
      <c r="AC74" s="3"/>
      <c r="AD74" s="3"/>
      <c r="AE74" s="3"/>
    </row>
    <row r="75" spans="2:271" x14ac:dyDescent="0.2">
      <c r="J75" s="3"/>
      <c r="K75" s="3"/>
    </row>
    <row r="76" spans="2:271" x14ac:dyDescent="0.2">
      <c r="J76" s="3"/>
      <c r="K76" s="3"/>
    </row>
    <row r="77" spans="2:271" x14ac:dyDescent="0.2">
      <c r="J77" s="3"/>
      <c r="K77" s="3"/>
    </row>
    <row r="78" spans="2:271" x14ac:dyDescent="0.2">
      <c r="J78" s="3"/>
      <c r="K78" s="3"/>
    </row>
    <row r="79" spans="2:271" x14ac:dyDescent="0.2">
      <c r="J79" s="3"/>
      <c r="K79" s="3"/>
    </row>
    <row r="80" spans="2:271" x14ac:dyDescent="0.2">
      <c r="J80" s="3"/>
      <c r="K80" s="3"/>
    </row>
    <row r="81" spans="10:11" x14ac:dyDescent="0.2">
      <c r="J81" s="3"/>
      <c r="K81" s="3"/>
    </row>
    <row r="82" spans="10:11" x14ac:dyDescent="0.2">
      <c r="J82" s="3"/>
      <c r="K82" s="3"/>
    </row>
    <row r="83" spans="10:11" x14ac:dyDescent="0.2">
      <c r="J83" s="3"/>
      <c r="K83" s="3"/>
    </row>
    <row r="84" spans="10:11" x14ac:dyDescent="0.2">
      <c r="J84" s="3"/>
      <c r="K84" s="3"/>
    </row>
    <row r="85" spans="10:11" x14ac:dyDescent="0.2">
      <c r="J85" s="3"/>
      <c r="K85" s="3"/>
    </row>
    <row r="86" spans="10:11" x14ac:dyDescent="0.2">
      <c r="J86" s="3"/>
      <c r="K86" s="3"/>
    </row>
    <row r="87" spans="10:11" x14ac:dyDescent="0.2">
      <c r="J87" s="3"/>
      <c r="K87" s="3"/>
    </row>
    <row r="88" spans="10:11" x14ac:dyDescent="0.2">
      <c r="J88" s="3"/>
      <c r="K88" s="3"/>
    </row>
    <row r="89" spans="10:11" x14ac:dyDescent="0.2">
      <c r="J89" s="3"/>
      <c r="K89" s="3"/>
    </row>
    <row r="90" spans="10:11" x14ac:dyDescent="0.2">
      <c r="J90" s="3"/>
      <c r="K90" s="3"/>
    </row>
    <row r="91" spans="10:11" x14ac:dyDescent="0.2">
      <c r="J91" s="3"/>
      <c r="K91" s="3"/>
    </row>
    <row r="92" spans="10:11" x14ac:dyDescent="0.2">
      <c r="J92" s="3"/>
      <c r="K92" s="3"/>
    </row>
    <row r="93" spans="10:11" x14ac:dyDescent="0.2">
      <c r="J93" s="3"/>
      <c r="K93" s="3"/>
    </row>
    <row r="94" spans="10:11" x14ac:dyDescent="0.2">
      <c r="J94" s="3"/>
      <c r="K94" s="3"/>
    </row>
    <row r="95" spans="10:11" x14ac:dyDescent="0.2">
      <c r="J95" s="3"/>
      <c r="K95" s="3"/>
    </row>
    <row r="96" spans="10:11" x14ac:dyDescent="0.2">
      <c r="J96" s="3"/>
      <c r="K96" s="3"/>
    </row>
    <row r="97" spans="10:11" x14ac:dyDescent="0.2">
      <c r="J97" s="3"/>
      <c r="K97" s="3"/>
    </row>
    <row r="98" spans="10:11" x14ac:dyDescent="0.2">
      <c r="J98" s="3"/>
      <c r="K98" s="3"/>
    </row>
    <row r="99" spans="10:11" x14ac:dyDescent="0.2">
      <c r="J99" s="3"/>
      <c r="K99" s="3"/>
    </row>
    <row r="100" spans="10:11" x14ac:dyDescent="0.2">
      <c r="J100" s="3"/>
      <c r="K100" s="3"/>
    </row>
    <row r="101" spans="10:11" x14ac:dyDescent="0.2">
      <c r="J101" s="3"/>
      <c r="K101" s="3"/>
    </row>
    <row r="102" spans="10:11" x14ac:dyDescent="0.2">
      <c r="J102" s="3"/>
      <c r="K102" s="3"/>
    </row>
    <row r="103" spans="10:11" x14ac:dyDescent="0.2">
      <c r="J103" s="3"/>
      <c r="K103" s="3"/>
    </row>
    <row r="104" spans="10:11" x14ac:dyDescent="0.2">
      <c r="J104" s="3"/>
      <c r="K104" s="3"/>
    </row>
    <row r="105" spans="10:11" x14ac:dyDescent="0.2">
      <c r="J105" s="3"/>
      <c r="K105" s="3"/>
    </row>
    <row r="106" spans="10:11" x14ac:dyDescent="0.2">
      <c r="J106" s="3"/>
      <c r="K106" s="3"/>
    </row>
    <row r="107" spans="10:11" x14ac:dyDescent="0.2">
      <c r="J107" s="3"/>
      <c r="K107" s="3"/>
    </row>
    <row r="108" spans="10:11" x14ac:dyDescent="0.2">
      <c r="J108" s="3"/>
      <c r="K108" s="3"/>
    </row>
    <row r="109" spans="10:11" x14ac:dyDescent="0.2">
      <c r="J109" s="3"/>
      <c r="K109" s="3"/>
    </row>
    <row r="110" spans="10:11" x14ac:dyDescent="0.2">
      <c r="J110" s="3"/>
      <c r="K110" s="3"/>
    </row>
    <row r="111" spans="10:11" x14ac:dyDescent="0.2">
      <c r="J111" s="3"/>
      <c r="K111" s="3"/>
    </row>
    <row r="112" spans="10:11" x14ac:dyDescent="0.2">
      <c r="J112" s="3"/>
      <c r="K112" s="3"/>
    </row>
    <row r="113" spans="10:11" x14ac:dyDescent="0.2">
      <c r="J113" s="3"/>
      <c r="K113" s="3"/>
    </row>
    <row r="114" spans="10:11" x14ac:dyDescent="0.2">
      <c r="J114" s="3"/>
      <c r="K114" s="3"/>
    </row>
    <row r="1048483" spans="138:141" x14ac:dyDescent="0.2">
      <c r="EH1048483" s="3">
        <f>SUBTOTAL(9,EH5:EH1048482)</f>
        <v>0</v>
      </c>
      <c r="EK1048483" s="3">
        <f>SUBTOTAL(9,EK5:EK1048482)</f>
        <v>0</v>
      </c>
    </row>
  </sheetData>
  <autoFilter ref="A1:JK65" xr:uid="{00000000-0001-0000-0000-000000000000}">
    <sortState xmlns:xlrd2="http://schemas.microsoft.com/office/spreadsheetml/2017/richdata2" ref="A2:JK65">
      <sortCondition ref="A1:A65"/>
    </sortState>
  </autoFilter>
  <sortState xmlns:xlrd2="http://schemas.microsoft.com/office/spreadsheetml/2017/richdata2" ref="A2:JK1048483">
    <sortCondition ref="A2:A1048483"/>
  </sortState>
  <conditionalFormatting sqref="A1:EQ1 GY1:GY7 EH2:GX4 A2:D7 F2:EE7 EG2:EG7 EF2:EF11 FG5:GX5 EH5:FE6 FF6:GX7 I31">
    <cfRule type="containsText" dxfId="8" priority="1" operator="containsText" text="Unchecked">
      <formula>NOT(ISERROR(SEARCH("Unchecked",A1)))</formula>
    </cfRule>
  </conditionalFormatting>
  <conditionalFormatting sqref="G13:G65">
    <cfRule type="cellIs" dxfId="7" priority="2" operator="equal">
      <formula>"Female"</formula>
    </cfRule>
  </conditionalFormatting>
  <conditionalFormatting sqref="AG1:AH1048576">
    <cfRule type="containsText" dxfId="6" priority="4" operator="containsText" text="Yes">
      <formula>NOT(ISERROR(SEARCH("Yes",AG1)))</formula>
    </cfRule>
    <cfRule type="containsText" dxfId="5" priority="5" operator="containsText" text="No">
      <formula>NOT(ISERROR(SEARCH("No",AG1)))</formula>
    </cfRule>
  </conditionalFormatting>
  <conditionalFormatting sqref="ES1:GX1 GZ4:HQ4 EH7:FC7 FE7">
    <cfRule type="containsText" dxfId="4" priority="9" operator="containsText" text="Unchecked">
      <formula>NOT(ISERROR(SEARCH("Unchecked",EH1)))</formula>
    </cfRule>
  </conditionalFormatting>
  <conditionalFormatting sqref="FE1:FE68 FD69:FD73 FE74:FE1048576">
    <cfRule type="cellIs" dxfId="3" priority="8" operator="lessThan">
      <formula>2</formula>
    </cfRule>
  </conditionalFormatting>
  <conditionalFormatting sqref="FG1:FG68 FF69:FF73 FG74:FG1048576">
    <cfRule type="cellIs" dxfId="2" priority="7" operator="lessThan">
      <formula>1</formula>
    </cfRule>
  </conditionalFormatting>
  <conditionalFormatting sqref="FQ1:FQ68 FP69:FP73 FQ74:FQ1048576">
    <cfRule type="cellIs" dxfId="1" priority="6" operator="lessThan">
      <formula>6.3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A024-709F-2B49-84D2-BD966227DD2B}">
  <dimension ref="A1:BM161"/>
  <sheetViews>
    <sheetView workbookViewId="0">
      <selection activeCell="D21" sqref="D21"/>
    </sheetView>
  </sheetViews>
  <sheetFormatPr baseColWidth="10" defaultRowHeight="16" x14ac:dyDescent="0.2"/>
  <cols>
    <col min="2" max="2" width="10.83203125" style="5"/>
    <col min="3" max="3" width="10" customWidth="1"/>
    <col min="4" max="65" width="10.83203125" style="5"/>
  </cols>
  <sheetData>
    <row r="1" spans="1:65" x14ac:dyDescent="0.2">
      <c r="A1" t="s">
        <v>261</v>
      </c>
      <c r="B1" t="s">
        <v>263</v>
      </c>
      <c r="C1" t="s">
        <v>262</v>
      </c>
      <c r="D1" t="s">
        <v>264</v>
      </c>
      <c r="E1" t="s">
        <v>265</v>
      </c>
      <c r="F1" t="s">
        <v>266</v>
      </c>
      <c r="G1" t="s">
        <v>267</v>
      </c>
      <c r="H1" t="s">
        <v>268</v>
      </c>
      <c r="I1" t="s">
        <v>269</v>
      </c>
      <c r="J1" t="s">
        <v>270</v>
      </c>
      <c r="K1" t="s">
        <v>271</v>
      </c>
      <c r="L1" t="s">
        <v>272</v>
      </c>
      <c r="M1" t="s">
        <v>273</v>
      </c>
      <c r="N1" t="s">
        <v>274</v>
      </c>
      <c r="O1" t="s">
        <v>275</v>
      </c>
      <c r="P1" t="s">
        <v>276</v>
      </c>
      <c r="Q1" t="s">
        <v>277</v>
      </c>
      <c r="R1" t="s">
        <v>278</v>
      </c>
      <c r="S1" t="s">
        <v>279</v>
      </c>
      <c r="T1" t="s">
        <v>280</v>
      </c>
      <c r="U1" t="s">
        <v>281</v>
      </c>
      <c r="V1" t="s">
        <v>282</v>
      </c>
      <c r="W1" t="s">
        <v>283</v>
      </c>
      <c r="X1" t="s">
        <v>284</v>
      </c>
      <c r="Y1" t="s">
        <v>285</v>
      </c>
      <c r="Z1" t="s">
        <v>286</v>
      </c>
      <c r="AA1" t="s">
        <v>251</v>
      </c>
      <c r="AB1" t="s">
        <v>252</v>
      </c>
      <c r="AC1" t="s">
        <v>253</v>
      </c>
      <c r="AD1" t="s">
        <v>254</v>
      </c>
      <c r="AE1" t="s">
        <v>255</v>
      </c>
      <c r="AF1" t="s">
        <v>256</v>
      </c>
      <c r="AG1" t="s">
        <v>287</v>
      </c>
      <c r="AH1" t="s">
        <v>288</v>
      </c>
      <c r="AI1" t="s">
        <v>289</v>
      </c>
      <c r="AJ1" t="s">
        <v>290</v>
      </c>
      <c r="AK1" t="s">
        <v>291</v>
      </c>
      <c r="AL1" t="s">
        <v>292</v>
      </c>
      <c r="AM1" t="s">
        <v>293</v>
      </c>
      <c r="AN1" t="s">
        <v>294</v>
      </c>
      <c r="AO1" t="s">
        <v>295</v>
      </c>
      <c r="AP1" t="s">
        <v>296</v>
      </c>
      <c r="AQ1" t="s">
        <v>297</v>
      </c>
      <c r="AR1" t="s">
        <v>298</v>
      </c>
      <c r="AS1" t="s">
        <v>299</v>
      </c>
      <c r="AT1" t="s">
        <v>300</v>
      </c>
      <c r="AU1" t="s">
        <v>301</v>
      </c>
      <c r="AV1" t="s">
        <v>302</v>
      </c>
      <c r="AW1" t="s">
        <v>303</v>
      </c>
      <c r="AX1" t="s">
        <v>304</v>
      </c>
      <c r="AY1" t="s">
        <v>305</v>
      </c>
      <c r="AZ1" t="s">
        <v>306</v>
      </c>
      <c r="BA1" t="s">
        <v>307</v>
      </c>
      <c r="BB1" t="s">
        <v>308</v>
      </c>
      <c r="BC1" t="s">
        <v>309</v>
      </c>
      <c r="BD1" t="s">
        <v>310</v>
      </c>
      <c r="BE1" t="s">
        <v>311</v>
      </c>
      <c r="BF1" t="s">
        <v>312</v>
      </c>
      <c r="BG1" t="s">
        <v>313</v>
      </c>
      <c r="BH1" t="s">
        <v>314</v>
      </c>
      <c r="BI1" t="s">
        <v>315</v>
      </c>
      <c r="BJ1" t="s">
        <v>316</v>
      </c>
      <c r="BK1" t="s">
        <v>317</v>
      </c>
      <c r="BL1" t="s">
        <v>318</v>
      </c>
      <c r="BM1" t="s">
        <v>319</v>
      </c>
    </row>
    <row r="2" spans="1:65" x14ac:dyDescent="0.2">
      <c r="A2" s="7" t="s">
        <v>474</v>
      </c>
      <c r="B2" s="7">
        <v>33.9</v>
      </c>
      <c r="C2" s="7">
        <v>12.9</v>
      </c>
      <c r="D2" s="7">
        <v>1.1000000000000001</v>
      </c>
      <c r="E2" s="7">
        <v>42.1</v>
      </c>
      <c r="F2" s="7">
        <v>43.9</v>
      </c>
      <c r="G2" s="7">
        <v>57.2</v>
      </c>
      <c r="H2" s="7">
        <v>7.2999999999999995E-2</v>
      </c>
      <c r="I2" s="7">
        <v>2.5099999999999998</v>
      </c>
      <c r="J2" s="7">
        <v>3.3</v>
      </c>
      <c r="K2" s="7">
        <v>52.3</v>
      </c>
      <c r="L2" s="7">
        <v>32.200000000000003</v>
      </c>
      <c r="M2" s="7">
        <v>10</v>
      </c>
      <c r="N2" s="7">
        <v>48.4</v>
      </c>
      <c r="O2" s="7">
        <v>31</v>
      </c>
      <c r="P2" s="7">
        <v>10.1</v>
      </c>
      <c r="Q2" s="7">
        <v>35.200000000000003</v>
      </c>
      <c r="R2" s="7">
        <v>80.8</v>
      </c>
      <c r="S2" s="7">
        <v>0.64</v>
      </c>
      <c r="T2" s="7">
        <v>11.1</v>
      </c>
      <c r="U2" s="7">
        <v>7.49</v>
      </c>
      <c r="V2" s="7">
        <v>48</v>
      </c>
      <c r="W2" s="7">
        <v>5.34</v>
      </c>
      <c r="X2" s="7">
        <v>78.900000000000006</v>
      </c>
      <c r="Y2" s="7">
        <v>0.26</v>
      </c>
      <c r="Z2" s="7">
        <v>16.7</v>
      </c>
      <c r="AA2" s="7">
        <v>4.16</v>
      </c>
      <c r="AB2" s="7">
        <v>18.8</v>
      </c>
      <c r="AC2" s="7">
        <v>6.58</v>
      </c>
      <c r="AD2" s="7">
        <v>16.100000000000001</v>
      </c>
      <c r="AE2" s="7">
        <v>29.5</v>
      </c>
      <c r="AF2" s="7">
        <v>47.8</v>
      </c>
      <c r="AG2" s="7">
        <v>4.08</v>
      </c>
      <c r="AH2" s="7">
        <v>2.86</v>
      </c>
      <c r="AI2" s="7">
        <v>3.26</v>
      </c>
      <c r="AJ2" s="7">
        <v>56.1</v>
      </c>
      <c r="AK2" s="7">
        <v>35.5</v>
      </c>
      <c r="AL2" s="7">
        <v>18.7</v>
      </c>
      <c r="AM2" s="7">
        <v>9.6</v>
      </c>
      <c r="AN2" s="7">
        <v>0.15</v>
      </c>
      <c r="AO2" s="7">
        <v>0.52</v>
      </c>
      <c r="AP2" s="7">
        <v>0.4</v>
      </c>
      <c r="AQ2" s="7">
        <v>1.0900000000000001</v>
      </c>
      <c r="AR2" s="7">
        <v>95.3</v>
      </c>
      <c r="AS2" s="7">
        <v>4.3099999999999996</v>
      </c>
      <c r="AT2" s="7">
        <v>0.36</v>
      </c>
      <c r="AU2" s="7">
        <v>92.3</v>
      </c>
      <c r="AV2" s="7">
        <v>6.49</v>
      </c>
      <c r="AW2" s="7">
        <v>52.6</v>
      </c>
      <c r="AX2" s="7">
        <v>1.82</v>
      </c>
      <c r="AY2" s="7">
        <v>42.2</v>
      </c>
      <c r="AZ2" s="7">
        <v>1.06</v>
      </c>
      <c r="BA2" s="7">
        <v>9.1300000000000008</v>
      </c>
      <c r="BB2" s="7">
        <v>42.8</v>
      </c>
      <c r="BC2" s="7">
        <v>65.599999999999994</v>
      </c>
      <c r="BD2" s="7">
        <v>0.3</v>
      </c>
      <c r="BE2" s="7">
        <v>1.85</v>
      </c>
      <c r="BF2" s="7">
        <v>6.73</v>
      </c>
      <c r="BG2" s="7">
        <v>52.2</v>
      </c>
      <c r="BH2" s="7">
        <v>605</v>
      </c>
      <c r="BI2" s="7">
        <v>376</v>
      </c>
      <c r="BJ2" s="7">
        <v>656</v>
      </c>
      <c r="BK2" s="7">
        <v>1213</v>
      </c>
      <c r="BL2" s="7">
        <v>566</v>
      </c>
      <c r="BM2" s="7">
        <v>47.7</v>
      </c>
    </row>
    <row r="3" spans="1:65" x14ac:dyDescent="0.2">
      <c r="A3" s="4" t="s">
        <v>455</v>
      </c>
      <c r="B3" s="4">
        <v>12.1</v>
      </c>
      <c r="C3" s="4">
        <v>2.4300000000000002</v>
      </c>
      <c r="D3" s="4">
        <v>0.3</v>
      </c>
      <c r="E3" s="4">
        <v>38</v>
      </c>
      <c r="F3" s="4">
        <v>58.9</v>
      </c>
      <c r="G3" s="4">
        <v>73.5</v>
      </c>
      <c r="H3" s="4">
        <v>0.13</v>
      </c>
      <c r="I3" s="4">
        <v>0.18</v>
      </c>
      <c r="J3" s="4">
        <v>1.91</v>
      </c>
      <c r="K3" s="4">
        <v>71.3</v>
      </c>
      <c r="L3" s="4">
        <v>39.200000000000003</v>
      </c>
      <c r="M3" s="4">
        <v>6.79</v>
      </c>
      <c r="N3" s="4">
        <v>74.5</v>
      </c>
      <c r="O3" s="4">
        <v>13.4</v>
      </c>
      <c r="P3" s="4">
        <v>3.47</v>
      </c>
      <c r="Q3" s="4">
        <v>18</v>
      </c>
      <c r="R3" s="4">
        <v>90.7</v>
      </c>
      <c r="S3" s="4">
        <v>0.68</v>
      </c>
      <c r="T3" s="4">
        <v>3.11</v>
      </c>
      <c r="U3" s="4">
        <v>5.54</v>
      </c>
      <c r="V3" s="4">
        <v>74.900000000000006</v>
      </c>
      <c r="W3" s="4">
        <v>0.24</v>
      </c>
      <c r="X3" s="4">
        <v>78.8</v>
      </c>
      <c r="Y3" s="4">
        <v>0</v>
      </c>
      <c r="Z3" s="4">
        <v>15.2</v>
      </c>
      <c r="AA3" s="4">
        <v>6.06</v>
      </c>
      <c r="AB3" s="4">
        <v>28.2</v>
      </c>
      <c r="AC3" s="4">
        <v>4.7300000000000004</v>
      </c>
      <c r="AD3" s="4">
        <v>1.1200000000000001</v>
      </c>
      <c r="AE3" s="4">
        <v>1.24</v>
      </c>
      <c r="AF3" s="4">
        <v>88.9</v>
      </c>
      <c r="AG3" s="4">
        <v>2.41</v>
      </c>
      <c r="AH3" s="4">
        <v>1.28</v>
      </c>
      <c r="AI3" s="4">
        <v>3.03</v>
      </c>
      <c r="AJ3" s="4">
        <v>93.8</v>
      </c>
      <c r="AK3" s="4">
        <v>1.52</v>
      </c>
      <c r="AL3" s="4">
        <v>50</v>
      </c>
      <c r="AM3" s="4">
        <v>15.4</v>
      </c>
      <c r="AN3" s="4">
        <v>1.61</v>
      </c>
      <c r="AO3" s="4">
        <v>0.75</v>
      </c>
      <c r="AP3" s="4">
        <v>0</v>
      </c>
      <c r="AQ3" s="4">
        <v>7.69</v>
      </c>
      <c r="AR3" s="4">
        <v>80.2</v>
      </c>
      <c r="AS3" s="4">
        <v>14.9</v>
      </c>
      <c r="AT3" s="4">
        <v>4.0999999999999996</v>
      </c>
      <c r="AU3" s="4">
        <v>84.6</v>
      </c>
      <c r="AV3" s="4">
        <v>0</v>
      </c>
      <c r="AW3" s="4">
        <v>7.69</v>
      </c>
      <c r="AX3" s="4">
        <v>23.1</v>
      </c>
      <c r="AY3" s="4">
        <v>69.2</v>
      </c>
      <c r="AZ3" s="4">
        <v>1.49</v>
      </c>
      <c r="BA3" s="4">
        <v>5.91</v>
      </c>
      <c r="BB3" s="4">
        <v>54.5</v>
      </c>
      <c r="BC3" s="4">
        <v>66.900000000000006</v>
      </c>
      <c r="BD3" s="4">
        <v>1.26</v>
      </c>
      <c r="BE3" s="4">
        <v>2.95</v>
      </c>
      <c r="BF3" s="4">
        <v>16.899999999999999</v>
      </c>
      <c r="BG3" s="4">
        <v>30</v>
      </c>
      <c r="BH3" s="4">
        <v>464</v>
      </c>
      <c r="BI3" s="4">
        <v>240</v>
      </c>
      <c r="BJ3" s="4">
        <v>213</v>
      </c>
      <c r="BK3" s="4">
        <v>1422</v>
      </c>
      <c r="BL3" s="4">
        <v>469</v>
      </c>
      <c r="BM3" s="4">
        <v>62.5</v>
      </c>
    </row>
    <row r="4" spans="1:65" x14ac:dyDescent="0.2">
      <c r="A4" t="s">
        <v>488</v>
      </c>
      <c r="B4">
        <v>14.1</v>
      </c>
      <c r="C4">
        <v>8.18</v>
      </c>
      <c r="D4">
        <v>0.31</v>
      </c>
      <c r="E4">
        <v>39.5</v>
      </c>
      <c r="F4">
        <v>52</v>
      </c>
      <c r="G4">
        <v>76.7</v>
      </c>
      <c r="H4">
        <v>5.7000000000000002E-2</v>
      </c>
      <c r="I4">
        <v>0.14000000000000001</v>
      </c>
      <c r="J4">
        <v>0.22</v>
      </c>
      <c r="K4">
        <v>76.3</v>
      </c>
      <c r="L4">
        <v>57.8</v>
      </c>
      <c r="M4">
        <v>14.5</v>
      </c>
      <c r="N4">
        <v>54.9</v>
      </c>
      <c r="O4">
        <v>22.7</v>
      </c>
      <c r="P4">
        <v>6.79</v>
      </c>
      <c r="Q4">
        <v>25.7</v>
      </c>
      <c r="R4">
        <v>65.2</v>
      </c>
      <c r="S4">
        <v>1.24</v>
      </c>
      <c r="T4">
        <v>24.5</v>
      </c>
      <c r="U4">
        <v>9.0399999999999991</v>
      </c>
      <c r="V4">
        <v>55.3</v>
      </c>
      <c r="W4">
        <v>3.33</v>
      </c>
      <c r="X4">
        <v>56.3</v>
      </c>
      <c r="Y4">
        <v>3.05</v>
      </c>
      <c r="Z4">
        <v>27.5</v>
      </c>
      <c r="AA4">
        <v>13.1</v>
      </c>
      <c r="AB4">
        <v>15.1</v>
      </c>
      <c r="AC4">
        <v>15.4</v>
      </c>
      <c r="AD4">
        <v>12.9</v>
      </c>
      <c r="AE4">
        <v>10.6</v>
      </c>
      <c r="AF4">
        <v>61.1</v>
      </c>
      <c r="AG4">
        <v>3.79</v>
      </c>
      <c r="AH4">
        <v>11.4</v>
      </c>
      <c r="AI4">
        <v>19</v>
      </c>
      <c r="AJ4">
        <v>42.3</v>
      </c>
      <c r="AK4">
        <v>19.100000000000001</v>
      </c>
      <c r="AL4">
        <v>15.5</v>
      </c>
      <c r="AM4">
        <v>27.2</v>
      </c>
      <c r="AN4">
        <v>2.85</v>
      </c>
      <c r="AO4">
        <v>1.66</v>
      </c>
      <c r="AP4">
        <v>10.4</v>
      </c>
      <c r="AQ4">
        <v>0.44</v>
      </c>
      <c r="AR4">
        <v>84.3</v>
      </c>
      <c r="AS4">
        <v>11.4</v>
      </c>
      <c r="AT4">
        <v>4.13</v>
      </c>
      <c r="AU4">
        <v>84.2</v>
      </c>
      <c r="AV4">
        <v>5.16</v>
      </c>
      <c r="AW4">
        <v>29.4</v>
      </c>
      <c r="AX4">
        <v>18.3</v>
      </c>
      <c r="AY4">
        <v>48.1</v>
      </c>
      <c r="AZ4">
        <v>1.95</v>
      </c>
      <c r="BA4">
        <v>8.8000000000000007</v>
      </c>
      <c r="BB4">
        <v>29.9</v>
      </c>
      <c r="BC4">
        <v>50.5</v>
      </c>
      <c r="BD4">
        <v>0.8</v>
      </c>
      <c r="BE4">
        <v>6.05</v>
      </c>
      <c r="BF4">
        <v>18.7</v>
      </c>
      <c r="BG4">
        <v>-14.3</v>
      </c>
      <c r="BH4">
        <v>487</v>
      </c>
      <c r="BI4">
        <v>449</v>
      </c>
      <c r="BJ4">
        <v>90.1</v>
      </c>
      <c r="BK4">
        <v>716</v>
      </c>
      <c r="BL4">
        <v>455</v>
      </c>
      <c r="BM4">
        <v>-38.5</v>
      </c>
    </row>
    <row r="5" spans="1:65" x14ac:dyDescent="0.2">
      <c r="A5" s="5" t="s">
        <v>505</v>
      </c>
      <c r="B5" s="5">
        <v>5.59</v>
      </c>
      <c r="C5" s="5">
        <v>3.5</v>
      </c>
      <c r="D5" s="5">
        <v>7.0999999999999994E-2</v>
      </c>
      <c r="E5" s="5">
        <v>52</v>
      </c>
      <c r="F5" s="5">
        <v>44.4</v>
      </c>
      <c r="G5" s="5">
        <v>85.1</v>
      </c>
      <c r="H5" s="13">
        <v>6.2899999999999996E-3</v>
      </c>
      <c r="I5" s="5">
        <v>0.36</v>
      </c>
      <c r="J5" s="5">
        <v>1.03</v>
      </c>
      <c r="K5" s="5">
        <v>83.7</v>
      </c>
      <c r="L5" s="5">
        <v>70.5</v>
      </c>
      <c r="M5" s="5">
        <v>6.61</v>
      </c>
      <c r="N5" s="5">
        <v>37.9</v>
      </c>
      <c r="O5" s="5">
        <v>46.3</v>
      </c>
      <c r="P5" s="5">
        <v>7.45</v>
      </c>
      <c r="Q5" s="5">
        <v>47</v>
      </c>
      <c r="R5" s="5">
        <v>63.7</v>
      </c>
      <c r="S5" s="5">
        <v>4.75</v>
      </c>
      <c r="T5" s="5">
        <v>21.3</v>
      </c>
      <c r="U5" s="5">
        <v>10.199999999999999</v>
      </c>
      <c r="V5" s="5">
        <v>38.6</v>
      </c>
      <c r="W5" s="5">
        <v>6.1</v>
      </c>
      <c r="X5" s="5">
        <v>33.700000000000003</v>
      </c>
      <c r="Y5" s="5">
        <v>6.82</v>
      </c>
      <c r="Z5" s="5">
        <v>31.4</v>
      </c>
      <c r="AA5" s="5">
        <v>28.1</v>
      </c>
      <c r="AB5" s="5">
        <v>9.92</v>
      </c>
      <c r="AC5" s="5">
        <v>15.8</v>
      </c>
      <c r="AD5" s="5">
        <v>29.4</v>
      </c>
      <c r="AE5" s="5">
        <v>38.5</v>
      </c>
      <c r="AF5" s="5">
        <v>16.3</v>
      </c>
      <c r="AG5" s="13">
        <v>1.6299999999999999E-3</v>
      </c>
      <c r="AH5" s="5">
        <v>0</v>
      </c>
      <c r="AI5" s="5">
        <v>0</v>
      </c>
      <c r="AJ5" s="5">
        <v>100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71.400000000000006</v>
      </c>
      <c r="AS5" s="5">
        <v>14.3</v>
      </c>
      <c r="AT5" s="5">
        <v>14.3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3.45</v>
      </c>
      <c r="BA5" s="5">
        <v>5.21</v>
      </c>
      <c r="BB5" s="5">
        <v>38.200000000000003</v>
      </c>
      <c r="BC5" s="5">
        <v>36.200000000000003</v>
      </c>
      <c r="BD5" s="5">
        <v>0.62</v>
      </c>
      <c r="BE5" s="5">
        <v>2.62</v>
      </c>
      <c r="BF5" s="5">
        <v>4.99</v>
      </c>
      <c r="BG5" s="5">
        <v>-23.8</v>
      </c>
      <c r="BH5" s="5">
        <v>368</v>
      </c>
      <c r="BI5" s="5">
        <v>244</v>
      </c>
      <c r="BJ5" s="5">
        <v>190</v>
      </c>
      <c r="BK5" s="5">
        <v>553</v>
      </c>
      <c r="BL5" s="5">
        <v>212</v>
      </c>
      <c r="BM5" s="5">
        <v>90.9</v>
      </c>
    </row>
    <row r="6" spans="1:65" x14ac:dyDescent="0.2">
      <c r="A6" s="5" t="s">
        <v>504</v>
      </c>
      <c r="B6" s="5">
        <v>6.13</v>
      </c>
      <c r="C6" s="5">
        <v>2.44</v>
      </c>
      <c r="D6" s="5">
        <v>0.54</v>
      </c>
      <c r="E6" s="5">
        <v>40.799999999999997</v>
      </c>
      <c r="F6" s="5">
        <v>56.2</v>
      </c>
      <c r="G6" s="5">
        <v>88.5</v>
      </c>
      <c r="H6" s="13">
        <v>9.1199999999999996E-3</v>
      </c>
      <c r="I6" s="5">
        <v>3.6999999999999998E-2</v>
      </c>
      <c r="J6" s="5">
        <v>3.85</v>
      </c>
      <c r="K6" s="5">
        <v>84.6</v>
      </c>
      <c r="L6" s="5">
        <v>15.7</v>
      </c>
      <c r="M6" s="5">
        <v>3.95</v>
      </c>
      <c r="N6" s="5">
        <v>27.8</v>
      </c>
      <c r="O6" s="5">
        <v>13.7</v>
      </c>
      <c r="P6" s="5">
        <v>19.600000000000001</v>
      </c>
      <c r="Q6" s="5">
        <v>32.1</v>
      </c>
      <c r="R6" s="5">
        <v>70.599999999999994</v>
      </c>
      <c r="S6" s="5">
        <v>1.33</v>
      </c>
      <c r="T6" s="5">
        <v>22.5</v>
      </c>
      <c r="U6" s="5">
        <v>5.59</v>
      </c>
      <c r="V6" s="5">
        <v>62.8</v>
      </c>
      <c r="W6" s="5">
        <v>0.55000000000000004</v>
      </c>
      <c r="X6" s="5">
        <v>34.799999999999997</v>
      </c>
      <c r="Y6" s="5">
        <v>2.02</v>
      </c>
      <c r="Z6" s="5">
        <v>53</v>
      </c>
      <c r="AA6" s="5">
        <v>10.1</v>
      </c>
      <c r="AB6" s="5">
        <v>65.5</v>
      </c>
      <c r="AC6" s="5">
        <v>0.28000000000000003</v>
      </c>
      <c r="AD6" s="5">
        <v>22.9</v>
      </c>
      <c r="AE6" s="5">
        <v>68.3</v>
      </c>
      <c r="AF6" s="5">
        <v>8.4499999999999993</v>
      </c>
      <c r="AG6" s="5">
        <v>0.42</v>
      </c>
      <c r="AH6" s="5">
        <v>50.5</v>
      </c>
      <c r="AI6" s="5">
        <v>22.3</v>
      </c>
      <c r="AJ6" s="5">
        <v>18.5</v>
      </c>
      <c r="AK6" s="5">
        <v>7.03</v>
      </c>
      <c r="AL6" s="5">
        <v>12</v>
      </c>
      <c r="AM6" s="5">
        <v>27.8</v>
      </c>
      <c r="AN6" s="5">
        <v>9.5</v>
      </c>
      <c r="AO6" s="5">
        <v>15.1</v>
      </c>
      <c r="AP6" s="5">
        <v>32.4</v>
      </c>
      <c r="AQ6" s="5">
        <v>1.47</v>
      </c>
      <c r="AR6" s="5">
        <v>54.2</v>
      </c>
      <c r="AS6" s="5">
        <v>15.1</v>
      </c>
      <c r="AT6" s="5">
        <v>30.2</v>
      </c>
      <c r="AU6" s="5">
        <v>55.9</v>
      </c>
      <c r="AV6" s="5">
        <v>5.88</v>
      </c>
      <c r="AW6" s="5">
        <v>3.7</v>
      </c>
      <c r="AX6" s="5">
        <v>0.46</v>
      </c>
      <c r="AY6" s="5">
        <v>95.4</v>
      </c>
      <c r="AZ6" s="5">
        <v>5.42</v>
      </c>
      <c r="BA6" s="5">
        <v>60.4</v>
      </c>
      <c r="BB6" s="5">
        <v>93</v>
      </c>
      <c r="BC6" s="5">
        <v>95.1</v>
      </c>
      <c r="BD6" s="5">
        <v>48.8</v>
      </c>
      <c r="BE6" s="5">
        <v>5.19</v>
      </c>
      <c r="BF6" s="5">
        <v>57.1</v>
      </c>
      <c r="BG6" s="5">
        <v>-17.2</v>
      </c>
      <c r="BH6" s="5">
        <v>965</v>
      </c>
      <c r="BI6" s="5">
        <v>861</v>
      </c>
      <c r="BJ6" s="5">
        <v>589</v>
      </c>
      <c r="BK6" s="5">
        <v>544</v>
      </c>
      <c r="BL6" s="5">
        <v>93.7</v>
      </c>
      <c r="BM6" s="5">
        <v>-54.4</v>
      </c>
    </row>
    <row r="7" spans="1:65" x14ac:dyDescent="0.2">
      <c r="A7" t="s">
        <v>498</v>
      </c>
      <c r="B7">
        <v>22.5</v>
      </c>
      <c r="C7">
        <v>4.07</v>
      </c>
      <c r="D7">
        <v>0.24</v>
      </c>
      <c r="E7">
        <v>28.9</v>
      </c>
      <c r="F7">
        <v>66.8</v>
      </c>
      <c r="G7">
        <v>57.9</v>
      </c>
      <c r="H7">
        <v>1.4999999999999999E-2</v>
      </c>
      <c r="I7">
        <v>1.1599999999999999</v>
      </c>
      <c r="J7">
        <v>0.52</v>
      </c>
      <c r="K7">
        <v>56.7</v>
      </c>
      <c r="L7">
        <v>44.5</v>
      </c>
      <c r="M7">
        <v>6.33</v>
      </c>
      <c r="N7">
        <v>54.1</v>
      </c>
      <c r="O7">
        <v>27</v>
      </c>
      <c r="P7">
        <v>10.3</v>
      </c>
      <c r="Q7">
        <v>29.1</v>
      </c>
      <c r="R7">
        <v>32.1</v>
      </c>
      <c r="S7">
        <v>26.6</v>
      </c>
      <c r="T7">
        <v>6.13</v>
      </c>
      <c r="U7">
        <v>26.2</v>
      </c>
      <c r="V7">
        <v>54</v>
      </c>
      <c r="W7">
        <v>7.58</v>
      </c>
      <c r="X7">
        <v>22.7</v>
      </c>
      <c r="Y7">
        <v>12.8</v>
      </c>
      <c r="Z7">
        <v>17.399999999999999</v>
      </c>
      <c r="AA7">
        <v>47.1</v>
      </c>
      <c r="AB7">
        <v>11.2</v>
      </c>
      <c r="AC7">
        <v>4.41</v>
      </c>
      <c r="AD7">
        <v>6.41</v>
      </c>
      <c r="AE7">
        <v>17.899999999999999</v>
      </c>
      <c r="AF7">
        <v>71.3</v>
      </c>
      <c r="AG7">
        <v>16.399999999999999</v>
      </c>
      <c r="AH7">
        <v>3.61</v>
      </c>
      <c r="AI7">
        <v>8.4499999999999993</v>
      </c>
      <c r="AJ7">
        <v>66.8</v>
      </c>
      <c r="AK7">
        <v>10.7</v>
      </c>
      <c r="AL7">
        <v>11</v>
      </c>
      <c r="AM7">
        <v>45.7</v>
      </c>
      <c r="AN7">
        <v>0.24</v>
      </c>
      <c r="AO7">
        <v>0.74</v>
      </c>
      <c r="AP7">
        <v>5.52</v>
      </c>
      <c r="AQ7">
        <v>3.95</v>
      </c>
      <c r="AR7">
        <v>95.1</v>
      </c>
      <c r="AS7">
        <v>4.3899999999999997</v>
      </c>
      <c r="AT7">
        <v>0.43</v>
      </c>
      <c r="AU7">
        <v>83.4</v>
      </c>
      <c r="AV7">
        <v>8.44</v>
      </c>
      <c r="AW7">
        <v>34.9</v>
      </c>
      <c r="AX7">
        <v>3.95</v>
      </c>
      <c r="AY7">
        <v>57.5</v>
      </c>
      <c r="AZ7">
        <v>0.43</v>
      </c>
      <c r="BA7">
        <v>4.53</v>
      </c>
      <c r="BB7">
        <v>29.8</v>
      </c>
      <c r="BC7">
        <v>52.7</v>
      </c>
      <c r="BD7">
        <v>0.59</v>
      </c>
      <c r="BE7">
        <v>5.88</v>
      </c>
      <c r="BF7">
        <v>8.0299999999999994</v>
      </c>
      <c r="BG7">
        <v>81</v>
      </c>
      <c r="BH7">
        <v>441</v>
      </c>
      <c r="BI7">
        <v>547</v>
      </c>
      <c r="BJ7">
        <v>355</v>
      </c>
      <c r="BK7">
        <v>636</v>
      </c>
      <c r="BL7">
        <v>235</v>
      </c>
      <c r="BM7">
        <v>-11</v>
      </c>
    </row>
    <row r="8" spans="1:65" x14ac:dyDescent="0.2">
      <c r="A8" s="7" t="s">
        <v>461</v>
      </c>
      <c r="B8" s="7">
        <v>9.5500000000000007</v>
      </c>
      <c r="C8" s="7">
        <v>1.47</v>
      </c>
      <c r="D8" s="29">
        <v>3.64E-3</v>
      </c>
      <c r="E8" s="7">
        <v>70.5</v>
      </c>
      <c r="F8" s="7">
        <v>28.1</v>
      </c>
      <c r="G8" s="7">
        <v>60.7</v>
      </c>
      <c r="H8" s="7">
        <v>1.9E-2</v>
      </c>
      <c r="I8" s="7">
        <v>0.26</v>
      </c>
      <c r="J8" s="7">
        <v>3.78</v>
      </c>
      <c r="K8" s="7">
        <v>56.6</v>
      </c>
      <c r="L8" s="7">
        <v>33</v>
      </c>
      <c r="M8" s="7">
        <v>7.52</v>
      </c>
      <c r="N8" s="7">
        <v>17.100000000000001</v>
      </c>
      <c r="O8" s="7">
        <v>42.4</v>
      </c>
      <c r="P8" s="7">
        <v>31.3</v>
      </c>
      <c r="Q8" s="7">
        <v>67.8</v>
      </c>
      <c r="R8" s="7">
        <v>37.4</v>
      </c>
      <c r="S8" s="7">
        <v>11.1</v>
      </c>
      <c r="T8" s="7">
        <v>15.1</v>
      </c>
      <c r="U8" s="7">
        <v>27.1</v>
      </c>
      <c r="V8" s="7">
        <v>18.3</v>
      </c>
      <c r="W8" s="7">
        <v>5.73</v>
      </c>
      <c r="X8" s="7">
        <v>37.700000000000003</v>
      </c>
      <c r="Y8" s="7">
        <v>9.08</v>
      </c>
      <c r="Z8" s="7">
        <v>26.5</v>
      </c>
      <c r="AA8" s="7">
        <v>26.8</v>
      </c>
      <c r="AB8" s="7">
        <v>22.5</v>
      </c>
      <c r="AC8" s="7">
        <v>4.09</v>
      </c>
      <c r="AD8" s="7">
        <v>23.2</v>
      </c>
      <c r="AE8" s="7">
        <v>33</v>
      </c>
      <c r="AF8" s="7">
        <v>39.6</v>
      </c>
      <c r="AG8" s="7">
        <v>23.9</v>
      </c>
      <c r="AH8" s="7">
        <v>10.6</v>
      </c>
      <c r="AI8" s="7">
        <v>13.8</v>
      </c>
      <c r="AJ8" s="7">
        <v>63.8</v>
      </c>
      <c r="AK8" s="7">
        <v>6.35</v>
      </c>
      <c r="AL8" s="7">
        <v>9.85</v>
      </c>
      <c r="AM8" s="7">
        <v>77</v>
      </c>
      <c r="AN8" s="7">
        <v>0.81</v>
      </c>
      <c r="AO8" s="7">
        <v>5.96</v>
      </c>
      <c r="AP8" s="7">
        <v>10.7</v>
      </c>
      <c r="AQ8" s="7">
        <v>10.3</v>
      </c>
      <c r="AR8" s="7">
        <v>89</v>
      </c>
      <c r="AS8" s="7">
        <v>4.9400000000000004</v>
      </c>
      <c r="AT8" s="7">
        <v>4.57</v>
      </c>
      <c r="AU8" s="7">
        <v>77.5</v>
      </c>
      <c r="AV8" s="7">
        <v>2.41</v>
      </c>
      <c r="AW8" s="7">
        <v>8.1199999999999992</v>
      </c>
      <c r="AX8" s="7">
        <v>6.31</v>
      </c>
      <c r="AY8" s="7">
        <v>83.2</v>
      </c>
      <c r="AZ8" s="7">
        <v>1.21</v>
      </c>
      <c r="BA8" s="7">
        <v>15.9</v>
      </c>
      <c r="BB8" s="7">
        <v>45.8</v>
      </c>
      <c r="BC8" s="7">
        <v>45.9</v>
      </c>
      <c r="BD8" s="7">
        <v>2.21</v>
      </c>
      <c r="BE8" s="7">
        <v>4.07</v>
      </c>
      <c r="BF8" s="7">
        <v>17.8</v>
      </c>
      <c r="BG8" s="7">
        <v>44.2</v>
      </c>
      <c r="BH8" s="7">
        <v>794</v>
      </c>
      <c r="BI8" s="7">
        <v>839</v>
      </c>
      <c r="BJ8" s="7">
        <v>843</v>
      </c>
      <c r="BK8" s="7">
        <v>1217</v>
      </c>
      <c r="BL8" s="7">
        <v>373</v>
      </c>
      <c r="BM8" s="7">
        <v>8.75</v>
      </c>
    </row>
    <row r="9" spans="1:65" x14ac:dyDescent="0.2">
      <c r="A9" t="s">
        <v>487</v>
      </c>
      <c r="B9">
        <v>0.71</v>
      </c>
      <c r="C9">
        <v>22.9</v>
      </c>
      <c r="D9">
        <v>0.67</v>
      </c>
      <c r="E9">
        <v>53.6</v>
      </c>
      <c r="F9">
        <v>22.8</v>
      </c>
      <c r="G9">
        <v>65.099999999999994</v>
      </c>
      <c r="H9" s="6">
        <v>7.2100000000000003E-3</v>
      </c>
      <c r="I9">
        <v>1.05</v>
      </c>
      <c r="J9">
        <v>1.62</v>
      </c>
      <c r="K9">
        <v>62.7</v>
      </c>
      <c r="L9">
        <v>40.6</v>
      </c>
      <c r="M9">
        <v>11.3</v>
      </c>
      <c r="N9">
        <v>58.5</v>
      </c>
      <c r="O9">
        <v>22.2</v>
      </c>
      <c r="P9">
        <v>5.26</v>
      </c>
      <c r="Q9">
        <v>18.899999999999999</v>
      </c>
      <c r="R9">
        <v>39.799999999999997</v>
      </c>
      <c r="S9">
        <v>12.6</v>
      </c>
      <c r="T9">
        <v>24.4</v>
      </c>
      <c r="U9">
        <v>24.6</v>
      </c>
      <c r="V9">
        <v>60.8</v>
      </c>
      <c r="W9">
        <v>9.56</v>
      </c>
      <c r="X9">
        <v>48.9</v>
      </c>
      <c r="Y9">
        <v>4.37</v>
      </c>
      <c r="Z9">
        <v>28.3</v>
      </c>
      <c r="AA9">
        <v>18.399999999999999</v>
      </c>
      <c r="AB9">
        <v>20.8</v>
      </c>
      <c r="AC9">
        <v>2.0499999999999998</v>
      </c>
      <c r="AD9">
        <v>4.5599999999999996</v>
      </c>
      <c r="AE9">
        <v>5.4</v>
      </c>
      <c r="AF9">
        <v>87.9</v>
      </c>
      <c r="AG9">
        <v>32.1</v>
      </c>
      <c r="AH9">
        <v>6.99</v>
      </c>
      <c r="AI9">
        <v>4.93</v>
      </c>
      <c r="AJ9">
        <v>80.599999999999994</v>
      </c>
      <c r="AK9">
        <v>5.15</v>
      </c>
      <c r="AL9">
        <v>6.17</v>
      </c>
      <c r="AM9">
        <v>51.8</v>
      </c>
      <c r="AN9">
        <v>0.64</v>
      </c>
      <c r="AO9">
        <v>0.52</v>
      </c>
      <c r="AP9">
        <v>5.43</v>
      </c>
      <c r="AQ9">
        <v>4.41</v>
      </c>
      <c r="AR9">
        <v>97.4</v>
      </c>
      <c r="AS9">
        <v>2.0299999999999998</v>
      </c>
      <c r="AT9">
        <v>0.49</v>
      </c>
      <c r="AU9">
        <v>92.6</v>
      </c>
      <c r="AV9">
        <v>1.59</v>
      </c>
      <c r="AW9">
        <v>36.4</v>
      </c>
      <c r="AX9">
        <v>2.34</v>
      </c>
      <c r="AY9">
        <v>58.2</v>
      </c>
      <c r="AZ9">
        <v>0.15</v>
      </c>
      <c r="BA9">
        <v>12.1</v>
      </c>
      <c r="BB9">
        <v>64</v>
      </c>
      <c r="BC9">
        <v>61.8</v>
      </c>
      <c r="BD9">
        <v>0.16</v>
      </c>
      <c r="BE9">
        <v>4.9400000000000004</v>
      </c>
      <c r="BF9">
        <v>14.4</v>
      </c>
      <c r="BG9">
        <v>34.6</v>
      </c>
      <c r="BH9">
        <v>361</v>
      </c>
      <c r="BI9">
        <v>538</v>
      </c>
      <c r="BJ9">
        <v>444</v>
      </c>
      <c r="BK9">
        <v>875</v>
      </c>
      <c r="BL9">
        <v>531</v>
      </c>
      <c r="BM9">
        <v>-8.9600000000000009</v>
      </c>
    </row>
    <row r="10" spans="1:65" x14ac:dyDescent="0.2">
      <c r="A10" t="s">
        <v>497</v>
      </c>
      <c r="B10">
        <v>15</v>
      </c>
      <c r="C10">
        <v>7.39</v>
      </c>
      <c r="D10">
        <v>0.37</v>
      </c>
      <c r="E10">
        <v>34.700000000000003</v>
      </c>
      <c r="F10">
        <v>57.5</v>
      </c>
      <c r="G10">
        <v>75</v>
      </c>
      <c r="H10" s="6">
        <v>6.7499999999999999E-3</v>
      </c>
      <c r="I10">
        <v>6.4000000000000001E-2</v>
      </c>
      <c r="J10">
        <v>0.71</v>
      </c>
      <c r="K10">
        <v>74.2</v>
      </c>
      <c r="L10">
        <v>49.1</v>
      </c>
      <c r="M10">
        <v>16.3</v>
      </c>
      <c r="N10">
        <v>49.8</v>
      </c>
      <c r="O10">
        <v>25.5</v>
      </c>
      <c r="P10">
        <v>6.44</v>
      </c>
      <c r="Q10">
        <v>29.9</v>
      </c>
      <c r="R10">
        <v>89.3</v>
      </c>
      <c r="S10">
        <v>0.35</v>
      </c>
      <c r="T10">
        <v>23</v>
      </c>
      <c r="U10">
        <v>6.68</v>
      </c>
      <c r="V10">
        <v>51</v>
      </c>
      <c r="W10">
        <v>3.4</v>
      </c>
      <c r="X10">
        <v>78.400000000000006</v>
      </c>
      <c r="Y10">
        <v>0.86</v>
      </c>
      <c r="Z10">
        <v>12.5</v>
      </c>
      <c r="AA10">
        <v>8.24</v>
      </c>
      <c r="AB10">
        <v>24</v>
      </c>
      <c r="AC10">
        <v>3.5</v>
      </c>
      <c r="AD10">
        <v>4.3899999999999997</v>
      </c>
      <c r="AE10">
        <v>9.11</v>
      </c>
      <c r="AF10">
        <v>82.9</v>
      </c>
      <c r="AG10">
        <v>7.81</v>
      </c>
      <c r="AH10">
        <v>27.7</v>
      </c>
      <c r="AI10">
        <v>7.12</v>
      </c>
      <c r="AJ10">
        <v>36.5</v>
      </c>
      <c r="AK10">
        <v>24.8</v>
      </c>
      <c r="AL10">
        <v>14.2</v>
      </c>
      <c r="AM10">
        <v>39</v>
      </c>
      <c r="AN10">
        <v>0.88</v>
      </c>
      <c r="AO10">
        <v>2.5</v>
      </c>
      <c r="AP10">
        <v>4.68</v>
      </c>
      <c r="AQ10">
        <v>0.65</v>
      </c>
      <c r="AR10">
        <v>93.5</v>
      </c>
      <c r="AS10">
        <v>2.76</v>
      </c>
      <c r="AT10">
        <v>2.98</v>
      </c>
      <c r="AU10">
        <v>94.1</v>
      </c>
      <c r="AV10">
        <v>1.04</v>
      </c>
      <c r="AW10">
        <v>10.6</v>
      </c>
      <c r="AX10">
        <v>24.4</v>
      </c>
      <c r="AY10">
        <v>63.6</v>
      </c>
      <c r="AZ10">
        <v>0.9</v>
      </c>
      <c r="BA10">
        <v>24</v>
      </c>
      <c r="BB10">
        <v>63.2</v>
      </c>
      <c r="BC10">
        <v>81.8</v>
      </c>
      <c r="BD10">
        <v>0.34</v>
      </c>
      <c r="BE10">
        <v>8.3800000000000008</v>
      </c>
      <c r="BF10">
        <v>39.1</v>
      </c>
      <c r="BG10">
        <v>97.8</v>
      </c>
      <c r="BH10">
        <v>843</v>
      </c>
      <c r="BI10">
        <v>777</v>
      </c>
      <c r="BJ10">
        <v>993</v>
      </c>
      <c r="BK10">
        <v>1304</v>
      </c>
      <c r="BL10">
        <v>682</v>
      </c>
      <c r="BM10">
        <v>26</v>
      </c>
    </row>
    <row r="11" spans="1:65" x14ac:dyDescent="0.2">
      <c r="A11" s="5" t="s">
        <v>410</v>
      </c>
      <c r="B11" s="5">
        <v>5.21</v>
      </c>
      <c r="C11" s="5">
        <v>9.6199999999999992</v>
      </c>
      <c r="D11" s="5">
        <v>3.4000000000000002E-2</v>
      </c>
      <c r="E11" s="5">
        <v>54.4</v>
      </c>
      <c r="F11" s="5">
        <v>36</v>
      </c>
      <c r="G11" s="5">
        <v>81.7</v>
      </c>
      <c r="H11" s="5">
        <v>1.4E-2</v>
      </c>
      <c r="I11" s="5">
        <v>0.72</v>
      </c>
      <c r="J11" s="5">
        <v>1.45</v>
      </c>
      <c r="K11" s="5">
        <v>79.599999999999994</v>
      </c>
      <c r="L11" s="5">
        <v>57.2</v>
      </c>
      <c r="M11" s="5">
        <v>6.31</v>
      </c>
      <c r="N11" s="5">
        <v>67.099999999999994</v>
      </c>
      <c r="O11" s="5">
        <v>23.6</v>
      </c>
      <c r="P11" s="5">
        <v>3.47</v>
      </c>
      <c r="Q11" s="5">
        <v>26.3</v>
      </c>
      <c r="R11" s="5">
        <v>95.8</v>
      </c>
      <c r="S11" s="5">
        <v>4.4999999999999998E-2</v>
      </c>
      <c r="T11" s="5">
        <v>4.12</v>
      </c>
      <c r="U11" s="5">
        <v>4.2000000000000003E-2</v>
      </c>
      <c r="V11" s="5">
        <v>66.5</v>
      </c>
      <c r="W11" s="5">
        <v>0.25</v>
      </c>
      <c r="X11" s="5">
        <v>85.8</v>
      </c>
      <c r="Y11" s="5">
        <v>2.79</v>
      </c>
      <c r="Z11" s="5">
        <v>11.1</v>
      </c>
      <c r="AA11" s="5">
        <v>0.31</v>
      </c>
      <c r="AB11" s="5">
        <v>20.9</v>
      </c>
      <c r="AC11" s="5">
        <v>3.37</v>
      </c>
      <c r="AD11" s="5">
        <v>2.14</v>
      </c>
      <c r="AE11" s="5">
        <v>4.78</v>
      </c>
      <c r="AF11" s="5">
        <v>89.7</v>
      </c>
      <c r="AG11" s="5">
        <v>8.94</v>
      </c>
      <c r="AH11" s="5">
        <v>5.3</v>
      </c>
      <c r="AI11" s="5">
        <v>11.8</v>
      </c>
      <c r="AJ11" s="5">
        <v>53.1</v>
      </c>
      <c r="AK11" s="5">
        <v>22</v>
      </c>
      <c r="AL11" s="5">
        <v>27.6</v>
      </c>
      <c r="AM11" s="5">
        <v>12.7</v>
      </c>
      <c r="AN11" s="5">
        <v>2.71</v>
      </c>
      <c r="AO11" s="5">
        <v>0.97</v>
      </c>
      <c r="AP11" s="5">
        <v>10.6</v>
      </c>
      <c r="AQ11" s="5">
        <v>1.99</v>
      </c>
      <c r="AR11" s="5">
        <v>94.1</v>
      </c>
      <c r="AS11" s="5">
        <v>2.1</v>
      </c>
      <c r="AT11" s="5">
        <v>2.52</v>
      </c>
      <c r="AU11" s="5">
        <v>86.1</v>
      </c>
      <c r="AV11" s="5">
        <v>2.2000000000000002</v>
      </c>
      <c r="AW11" s="5">
        <v>38.4</v>
      </c>
      <c r="AX11" s="5">
        <v>10.6</v>
      </c>
      <c r="AY11" s="5">
        <v>46.4</v>
      </c>
      <c r="AZ11" s="5">
        <v>0.47</v>
      </c>
      <c r="BA11" s="5">
        <v>6.32</v>
      </c>
      <c r="BB11" s="5">
        <v>47.4</v>
      </c>
      <c r="BC11" s="5">
        <v>39.9</v>
      </c>
      <c r="BD11" s="5">
        <v>0.43</v>
      </c>
      <c r="BE11" s="5">
        <v>2.83</v>
      </c>
      <c r="BF11" s="5">
        <v>10.6</v>
      </c>
      <c r="BG11" s="5">
        <v>40.700000000000003</v>
      </c>
      <c r="BH11" s="5">
        <v>383</v>
      </c>
      <c r="BI11" s="5">
        <v>220</v>
      </c>
      <c r="BJ11" s="5">
        <v>286</v>
      </c>
      <c r="BK11" s="5">
        <v>760</v>
      </c>
      <c r="BL11" s="5">
        <v>303</v>
      </c>
      <c r="BM11" s="5">
        <v>9.09</v>
      </c>
    </row>
    <row r="12" spans="1:65" x14ac:dyDescent="0.2">
      <c r="A12" s="4" t="s">
        <v>512</v>
      </c>
      <c r="B12" s="4">
        <v>6.95</v>
      </c>
      <c r="C12" s="4">
        <v>1.78</v>
      </c>
      <c r="D12" s="4">
        <v>0.14000000000000001</v>
      </c>
      <c r="E12" s="4">
        <v>51.6</v>
      </c>
      <c r="F12" s="4">
        <v>45.6</v>
      </c>
      <c r="G12" s="4">
        <v>65.7</v>
      </c>
      <c r="H12" s="4">
        <v>7.9000000000000001E-2</v>
      </c>
      <c r="I12" s="4">
        <v>1.04</v>
      </c>
      <c r="J12" s="4">
        <v>2.83</v>
      </c>
      <c r="K12" s="4">
        <v>62</v>
      </c>
      <c r="L12" s="4">
        <v>19</v>
      </c>
      <c r="M12" s="4">
        <v>28.2</v>
      </c>
      <c r="N12" s="4">
        <v>22.8</v>
      </c>
      <c r="O12" s="4">
        <v>34.5</v>
      </c>
      <c r="P12" s="4">
        <v>13.8</v>
      </c>
      <c r="Q12" s="4">
        <v>39.299999999999997</v>
      </c>
      <c r="R12" s="4">
        <v>32.299999999999997</v>
      </c>
      <c r="S12" s="4">
        <v>17.2</v>
      </c>
      <c r="T12" s="4">
        <v>30.1</v>
      </c>
      <c r="U12" s="4">
        <v>20.5</v>
      </c>
      <c r="V12" s="4">
        <v>19.3</v>
      </c>
      <c r="W12" s="4">
        <v>7.43</v>
      </c>
      <c r="X12" s="4">
        <v>27.5</v>
      </c>
      <c r="Y12" s="4">
        <v>9.14</v>
      </c>
      <c r="Z12" s="4">
        <v>51</v>
      </c>
      <c r="AA12" s="4">
        <v>12.4</v>
      </c>
      <c r="AB12" s="4">
        <v>41</v>
      </c>
      <c r="AC12" s="4">
        <v>3.48</v>
      </c>
      <c r="AD12" s="4">
        <v>8.84</v>
      </c>
      <c r="AE12" s="4">
        <v>69.400000000000006</v>
      </c>
      <c r="AF12" s="4">
        <v>15.4</v>
      </c>
      <c r="AG12" s="4">
        <v>19.2</v>
      </c>
      <c r="AH12" s="4">
        <v>16.600000000000001</v>
      </c>
      <c r="AI12" s="4">
        <v>4.0599999999999996</v>
      </c>
      <c r="AJ12" s="4">
        <v>59.9</v>
      </c>
      <c r="AK12" s="4">
        <v>17.2</v>
      </c>
      <c r="AL12" s="4">
        <v>18.2</v>
      </c>
      <c r="AM12" s="4">
        <v>55.3</v>
      </c>
      <c r="AN12" s="4">
        <v>2.44</v>
      </c>
      <c r="AO12" s="4">
        <v>9.69</v>
      </c>
      <c r="AP12" s="4">
        <v>1.1100000000000001</v>
      </c>
      <c r="AQ12" s="4">
        <v>0.92</v>
      </c>
      <c r="AR12" s="4">
        <v>74.7</v>
      </c>
      <c r="AS12" s="4">
        <v>12.8</v>
      </c>
      <c r="AT12" s="4">
        <v>12.2</v>
      </c>
      <c r="AU12" s="4">
        <v>81.2</v>
      </c>
      <c r="AV12" s="4">
        <v>17.8</v>
      </c>
      <c r="AW12" s="4">
        <v>4.46</v>
      </c>
      <c r="AX12" s="4">
        <v>3.8</v>
      </c>
      <c r="AY12" s="4">
        <v>88.3</v>
      </c>
      <c r="AZ12" s="4">
        <v>3.58</v>
      </c>
      <c r="BA12" s="4">
        <v>22.7</v>
      </c>
      <c r="BB12" s="4">
        <v>52.8</v>
      </c>
      <c r="BC12" s="4">
        <v>66.3</v>
      </c>
      <c r="BD12" s="4">
        <v>2.11</v>
      </c>
      <c r="BE12" s="4">
        <v>5.86</v>
      </c>
      <c r="BF12" s="4">
        <v>31.1</v>
      </c>
      <c r="BG12" s="4">
        <v>105</v>
      </c>
      <c r="BH12" s="4">
        <v>575</v>
      </c>
      <c r="BI12" s="4">
        <v>568</v>
      </c>
      <c r="BJ12" s="4">
        <v>535</v>
      </c>
      <c r="BK12" s="4">
        <v>633</v>
      </c>
      <c r="BL12" s="4">
        <v>232</v>
      </c>
      <c r="BM12" s="4">
        <v>60.2</v>
      </c>
    </row>
    <row r="13" spans="1:65" x14ac:dyDescent="0.2">
      <c r="A13" t="s">
        <v>473</v>
      </c>
      <c r="B13">
        <v>7.87</v>
      </c>
      <c r="C13">
        <v>6.12</v>
      </c>
      <c r="D13">
        <v>0.36</v>
      </c>
      <c r="E13">
        <v>47.5</v>
      </c>
      <c r="F13">
        <v>46</v>
      </c>
      <c r="G13">
        <v>73.3</v>
      </c>
      <c r="H13">
        <v>0.3</v>
      </c>
      <c r="I13">
        <v>0.27</v>
      </c>
      <c r="J13">
        <v>2.5099999999999998</v>
      </c>
      <c r="K13">
        <v>70.3</v>
      </c>
      <c r="L13">
        <v>50.5</v>
      </c>
      <c r="M13">
        <v>8.76</v>
      </c>
      <c r="N13">
        <v>53.6</v>
      </c>
      <c r="O13">
        <v>32.5</v>
      </c>
      <c r="P13">
        <v>2.81</v>
      </c>
      <c r="Q13">
        <v>26.3</v>
      </c>
      <c r="R13">
        <v>82.3</v>
      </c>
      <c r="S13">
        <v>0.76</v>
      </c>
      <c r="T13">
        <v>4.12</v>
      </c>
      <c r="U13">
        <v>10.5</v>
      </c>
      <c r="V13">
        <v>55.5</v>
      </c>
      <c r="W13">
        <v>8.6199999999999992</v>
      </c>
      <c r="X13">
        <v>65</v>
      </c>
      <c r="Y13">
        <v>2.1</v>
      </c>
      <c r="Z13">
        <v>17.600000000000001</v>
      </c>
      <c r="AA13">
        <v>15.4</v>
      </c>
      <c r="AB13">
        <v>15.2</v>
      </c>
      <c r="AC13">
        <v>3.51</v>
      </c>
      <c r="AD13">
        <v>4.0199999999999996</v>
      </c>
      <c r="AE13">
        <v>5.68</v>
      </c>
      <c r="AF13">
        <v>86.8</v>
      </c>
      <c r="AG13">
        <v>16.899999999999999</v>
      </c>
      <c r="AH13">
        <v>2.67</v>
      </c>
      <c r="AI13">
        <v>7.36</v>
      </c>
      <c r="AJ13">
        <v>84.4</v>
      </c>
      <c r="AK13">
        <v>5.42</v>
      </c>
      <c r="AL13">
        <v>8.4</v>
      </c>
      <c r="AM13">
        <v>16.3</v>
      </c>
      <c r="AN13">
        <v>0.26</v>
      </c>
      <c r="AO13">
        <v>1.2</v>
      </c>
      <c r="AP13">
        <v>0.93</v>
      </c>
      <c r="AQ13">
        <v>0.9</v>
      </c>
      <c r="AR13">
        <v>92.4</v>
      </c>
      <c r="AS13">
        <v>0.19</v>
      </c>
      <c r="AT13">
        <v>0.86</v>
      </c>
      <c r="AU13">
        <v>96.6</v>
      </c>
      <c r="AV13">
        <v>2.62</v>
      </c>
      <c r="AW13">
        <v>64.2</v>
      </c>
      <c r="AX13">
        <v>1.7</v>
      </c>
      <c r="AY13">
        <v>24.3</v>
      </c>
      <c r="AZ13">
        <v>0.31</v>
      </c>
      <c r="BA13">
        <v>8.35</v>
      </c>
      <c r="BB13">
        <v>44.9</v>
      </c>
      <c r="BC13">
        <v>79.5</v>
      </c>
      <c r="BD13">
        <v>0.21</v>
      </c>
      <c r="BE13">
        <v>1.28</v>
      </c>
      <c r="BF13">
        <v>4.7699999999999996</v>
      </c>
      <c r="BG13">
        <v>-84.7</v>
      </c>
      <c r="BH13">
        <v>496</v>
      </c>
      <c r="BI13">
        <v>416</v>
      </c>
      <c r="BJ13">
        <v>787</v>
      </c>
      <c r="BK13">
        <v>856</v>
      </c>
      <c r="BL13">
        <v>182</v>
      </c>
      <c r="BM13">
        <v>46</v>
      </c>
    </row>
    <row r="14" spans="1:65" x14ac:dyDescent="0.2">
      <c r="A14" s="7" t="s">
        <v>459</v>
      </c>
      <c r="B14" s="7">
        <v>10.7</v>
      </c>
      <c r="C14" s="7">
        <v>3.01</v>
      </c>
      <c r="D14" s="7">
        <v>0.03</v>
      </c>
      <c r="E14" s="7">
        <v>46.1</v>
      </c>
      <c r="F14" s="7">
        <v>50.9</v>
      </c>
      <c r="G14" s="7">
        <v>53.7</v>
      </c>
      <c r="H14" s="29">
        <v>7.0800000000000004E-3</v>
      </c>
      <c r="I14" s="7">
        <v>0.28000000000000003</v>
      </c>
      <c r="J14" s="7">
        <v>2.5499999999999998</v>
      </c>
      <c r="K14" s="7">
        <v>51</v>
      </c>
      <c r="L14" s="7">
        <v>31.4</v>
      </c>
      <c r="M14" s="7">
        <v>5.96</v>
      </c>
      <c r="N14" s="7">
        <v>60.9</v>
      </c>
      <c r="O14" s="7">
        <v>17.899999999999999</v>
      </c>
      <c r="P14" s="7">
        <v>14.5</v>
      </c>
      <c r="Q14" s="7">
        <v>26.5</v>
      </c>
      <c r="R14" s="7">
        <v>84.1</v>
      </c>
      <c r="S14" s="7">
        <v>0.63</v>
      </c>
      <c r="T14" s="7">
        <v>6.38</v>
      </c>
      <c r="U14" s="7">
        <v>6.56</v>
      </c>
      <c r="V14" s="7">
        <v>59.7</v>
      </c>
      <c r="W14" s="7">
        <v>5.6</v>
      </c>
      <c r="X14" s="7">
        <v>61.6</v>
      </c>
      <c r="Y14" s="7">
        <v>1.29</v>
      </c>
      <c r="Z14" s="7">
        <v>24.5</v>
      </c>
      <c r="AA14" s="7">
        <v>12.6</v>
      </c>
      <c r="AB14" s="7">
        <v>18.100000000000001</v>
      </c>
      <c r="AC14" s="7">
        <v>3.73</v>
      </c>
      <c r="AD14" s="7">
        <v>22.8</v>
      </c>
      <c r="AE14" s="7">
        <v>26</v>
      </c>
      <c r="AF14" s="7">
        <v>47.5</v>
      </c>
      <c r="AG14" s="7">
        <v>33.200000000000003</v>
      </c>
      <c r="AH14" s="7">
        <v>0.88</v>
      </c>
      <c r="AI14" s="7">
        <v>5.08</v>
      </c>
      <c r="AJ14" s="7">
        <v>92.8</v>
      </c>
      <c r="AK14" s="7">
        <v>1.18</v>
      </c>
      <c r="AL14" s="7">
        <v>15.9</v>
      </c>
      <c r="AM14" s="7">
        <v>24.5</v>
      </c>
      <c r="AN14" s="7">
        <v>0.53</v>
      </c>
      <c r="AO14" s="7">
        <v>0.6</v>
      </c>
      <c r="AP14" s="7">
        <v>2.98</v>
      </c>
      <c r="AQ14" s="7">
        <v>2.29</v>
      </c>
      <c r="AR14" s="7">
        <v>94</v>
      </c>
      <c r="AS14" s="7">
        <v>0.11</v>
      </c>
      <c r="AT14" s="7">
        <v>0.61</v>
      </c>
      <c r="AU14" s="7">
        <v>85.9</v>
      </c>
      <c r="AV14" s="7">
        <v>11.2</v>
      </c>
      <c r="AW14" s="7">
        <v>52.9</v>
      </c>
      <c r="AX14" s="7">
        <v>2.25</v>
      </c>
      <c r="AY14" s="7">
        <v>38.9</v>
      </c>
      <c r="AZ14" s="7">
        <v>1.1599999999999999</v>
      </c>
      <c r="BA14" s="7">
        <v>24.6</v>
      </c>
      <c r="BB14" s="7">
        <v>54.9</v>
      </c>
      <c r="BC14" s="7">
        <v>78.2</v>
      </c>
      <c r="BD14" s="7">
        <v>0.17</v>
      </c>
      <c r="BE14" s="7">
        <v>4.6500000000000004</v>
      </c>
      <c r="BF14" s="7">
        <v>60.5</v>
      </c>
      <c r="BG14" s="7">
        <v>-79.400000000000006</v>
      </c>
      <c r="BH14" s="7">
        <v>789</v>
      </c>
      <c r="BI14" s="7">
        <v>831</v>
      </c>
      <c r="BJ14" s="7">
        <v>789</v>
      </c>
      <c r="BK14" s="7">
        <v>630</v>
      </c>
      <c r="BL14" s="7">
        <v>172</v>
      </c>
      <c r="BM14" s="7">
        <v>67.400000000000006</v>
      </c>
    </row>
    <row r="15" spans="1:65" x14ac:dyDescent="0.2">
      <c r="A15" t="s">
        <v>472</v>
      </c>
      <c r="B15">
        <v>5.55</v>
      </c>
      <c r="C15">
        <v>11.8</v>
      </c>
      <c r="D15">
        <v>9.2999999999999999E-2</v>
      </c>
      <c r="E15">
        <v>53.2</v>
      </c>
      <c r="F15">
        <v>34.9</v>
      </c>
      <c r="G15">
        <v>79.3</v>
      </c>
      <c r="H15" s="6">
        <v>4.4099999999999999E-3</v>
      </c>
      <c r="I15">
        <v>0.02</v>
      </c>
      <c r="J15">
        <v>4.91</v>
      </c>
      <c r="K15">
        <v>74.3</v>
      </c>
      <c r="L15">
        <v>45.5</v>
      </c>
      <c r="M15">
        <v>24.7</v>
      </c>
      <c r="N15">
        <v>16.899999999999999</v>
      </c>
      <c r="O15">
        <v>31.7</v>
      </c>
      <c r="P15">
        <v>23</v>
      </c>
      <c r="Q15">
        <v>49.3</v>
      </c>
      <c r="R15">
        <v>68.7</v>
      </c>
      <c r="S15">
        <v>1.23</v>
      </c>
      <c r="T15">
        <v>8.69</v>
      </c>
      <c r="U15">
        <v>5.0599999999999996</v>
      </c>
      <c r="V15">
        <v>19.8</v>
      </c>
      <c r="W15">
        <v>5.07</v>
      </c>
      <c r="X15">
        <v>35.4</v>
      </c>
      <c r="Y15">
        <v>3.31</v>
      </c>
      <c r="Z15">
        <v>51.7</v>
      </c>
      <c r="AA15">
        <v>9.58</v>
      </c>
      <c r="AB15">
        <v>24.5</v>
      </c>
      <c r="AC15">
        <v>9.7100000000000009</v>
      </c>
      <c r="AD15">
        <v>33.299999999999997</v>
      </c>
      <c r="AE15">
        <v>31.8</v>
      </c>
      <c r="AF15">
        <v>25.2</v>
      </c>
      <c r="AG15">
        <v>10.199999999999999</v>
      </c>
      <c r="AH15">
        <v>24.5</v>
      </c>
      <c r="AI15">
        <v>9.6300000000000008</v>
      </c>
      <c r="AJ15">
        <v>54.6</v>
      </c>
      <c r="AK15">
        <v>9.68</v>
      </c>
      <c r="AL15">
        <v>9.3800000000000008</v>
      </c>
      <c r="AM15">
        <v>22.7</v>
      </c>
      <c r="AN15">
        <v>0.52</v>
      </c>
      <c r="AO15">
        <v>2.33</v>
      </c>
      <c r="AP15">
        <v>3.58</v>
      </c>
      <c r="AQ15">
        <v>0.9</v>
      </c>
      <c r="AR15">
        <v>92.5</v>
      </c>
      <c r="AS15">
        <v>4.68</v>
      </c>
      <c r="AT15">
        <v>2.62</v>
      </c>
      <c r="AU15">
        <v>89.3</v>
      </c>
      <c r="AV15">
        <v>4.78</v>
      </c>
      <c r="AW15">
        <v>40.4</v>
      </c>
      <c r="AX15">
        <v>15.5</v>
      </c>
      <c r="AY15">
        <v>39.299999999999997</v>
      </c>
      <c r="AZ15">
        <v>0.96</v>
      </c>
      <c r="BA15">
        <v>1.67</v>
      </c>
      <c r="BB15">
        <v>35.4</v>
      </c>
      <c r="BC15">
        <v>66.2</v>
      </c>
      <c r="BD15">
        <v>1.1499999999999999</v>
      </c>
      <c r="BE15">
        <v>2.62</v>
      </c>
      <c r="BF15">
        <v>8.61</v>
      </c>
      <c r="BG15">
        <v>-11.3</v>
      </c>
      <c r="BH15">
        <v>1217</v>
      </c>
      <c r="BI15">
        <v>931</v>
      </c>
      <c r="BJ15">
        <v>162</v>
      </c>
      <c r="BK15">
        <v>806</v>
      </c>
      <c r="BL15">
        <v>555</v>
      </c>
      <c r="BM15">
        <v>-29.1</v>
      </c>
    </row>
    <row r="16" spans="1:65" x14ac:dyDescent="0.2">
      <c r="A16" s="30" t="s">
        <v>503</v>
      </c>
      <c r="B16" s="30">
        <v>7</v>
      </c>
      <c r="C16" s="30">
        <v>5.31</v>
      </c>
      <c r="D16" s="30">
        <v>0.34</v>
      </c>
      <c r="E16" s="30">
        <v>43.7</v>
      </c>
      <c r="F16" s="30">
        <v>50.6</v>
      </c>
      <c r="G16" s="30">
        <v>65.099999999999994</v>
      </c>
      <c r="H16" s="30">
        <v>2.5999999999999999E-2</v>
      </c>
      <c r="I16" s="30">
        <v>0.75</v>
      </c>
      <c r="J16" s="30">
        <v>5.04</v>
      </c>
      <c r="K16" s="30">
        <v>59.5</v>
      </c>
      <c r="L16" s="30">
        <v>38.200000000000003</v>
      </c>
      <c r="M16" s="30">
        <v>8.9600000000000009</v>
      </c>
      <c r="N16" s="30">
        <v>58.7</v>
      </c>
      <c r="O16" s="30">
        <v>23.4</v>
      </c>
      <c r="P16" s="30">
        <v>7.37</v>
      </c>
      <c r="Q16" s="30">
        <v>25.3</v>
      </c>
      <c r="R16" s="30">
        <v>47.9</v>
      </c>
      <c r="S16" s="30">
        <v>9.3699999999999992</v>
      </c>
      <c r="T16" s="30">
        <v>25.1</v>
      </c>
      <c r="U16" s="30">
        <v>21</v>
      </c>
      <c r="V16" s="30">
        <v>59.4</v>
      </c>
      <c r="W16" s="30">
        <v>4.99</v>
      </c>
      <c r="X16" s="30">
        <v>49</v>
      </c>
      <c r="Y16" s="30">
        <v>5.43</v>
      </c>
      <c r="Z16" s="30">
        <v>25.6</v>
      </c>
      <c r="AA16" s="30">
        <v>19.899999999999999</v>
      </c>
      <c r="AB16" s="30">
        <v>18.8</v>
      </c>
      <c r="AC16" s="30">
        <v>2.74</v>
      </c>
      <c r="AD16" s="30">
        <v>16.7</v>
      </c>
      <c r="AE16" s="30">
        <v>12.2</v>
      </c>
      <c r="AF16" s="30">
        <v>68.2</v>
      </c>
      <c r="AG16" s="30">
        <v>24.1</v>
      </c>
      <c r="AH16" s="30">
        <v>3.53</v>
      </c>
      <c r="AI16" s="30">
        <v>6.14</v>
      </c>
      <c r="AJ16" s="30">
        <v>75.7</v>
      </c>
      <c r="AK16" s="30">
        <v>13.5</v>
      </c>
      <c r="AL16" s="30">
        <v>4.1399999999999997</v>
      </c>
      <c r="AM16" s="30">
        <v>31.7</v>
      </c>
      <c r="AN16" s="30">
        <v>0.27</v>
      </c>
      <c r="AO16" s="30">
        <v>0.63</v>
      </c>
      <c r="AP16" s="30">
        <v>1.68</v>
      </c>
      <c r="AQ16" s="30">
        <v>0.42</v>
      </c>
      <c r="AR16" s="30">
        <v>86.5</v>
      </c>
      <c r="AS16" s="30">
        <v>12.9</v>
      </c>
      <c r="AT16" s="30">
        <v>0.61</v>
      </c>
      <c r="AU16" s="30">
        <v>87.8</v>
      </c>
      <c r="AV16" s="30">
        <v>11.1</v>
      </c>
      <c r="AW16" s="30">
        <v>48.3</v>
      </c>
      <c r="AX16" s="30">
        <v>3.22</v>
      </c>
      <c r="AY16" s="30">
        <v>40.1</v>
      </c>
      <c r="AZ16" s="30">
        <v>0.39</v>
      </c>
      <c r="BA16" s="30">
        <v>12.2</v>
      </c>
      <c r="BB16" s="30">
        <v>40.9</v>
      </c>
      <c r="BC16" s="30">
        <v>37.200000000000003</v>
      </c>
      <c r="BD16" s="30">
        <v>0.25</v>
      </c>
      <c r="BE16" s="30">
        <v>3.38</v>
      </c>
      <c r="BF16" s="30">
        <v>6.24</v>
      </c>
      <c r="BG16" s="30">
        <v>21.2</v>
      </c>
      <c r="BH16" s="30">
        <v>608</v>
      </c>
      <c r="BI16" s="30">
        <v>701</v>
      </c>
      <c r="BJ16" s="30">
        <v>800</v>
      </c>
      <c r="BK16" s="30">
        <v>1216</v>
      </c>
      <c r="BL16" s="30">
        <v>499</v>
      </c>
      <c r="BM16" s="30">
        <v>-2.98</v>
      </c>
    </row>
    <row r="17" spans="1:65" x14ac:dyDescent="0.2">
      <c r="A17" s="5" t="s">
        <v>411</v>
      </c>
      <c r="B17" s="5">
        <v>6.37</v>
      </c>
      <c r="C17" s="5">
        <v>9.23</v>
      </c>
      <c r="D17" s="5">
        <v>0.16</v>
      </c>
      <c r="E17" s="5">
        <v>35.4</v>
      </c>
      <c r="F17" s="5">
        <v>55.2</v>
      </c>
      <c r="G17" s="5">
        <v>78.900000000000006</v>
      </c>
      <c r="H17" s="13">
        <v>6.2899999999999996E-3</v>
      </c>
      <c r="I17" s="5">
        <v>0.22</v>
      </c>
      <c r="J17" s="5">
        <v>0.87</v>
      </c>
      <c r="K17" s="5">
        <v>77.8</v>
      </c>
      <c r="L17" s="5">
        <v>43.3</v>
      </c>
      <c r="M17" s="5">
        <v>4.5199999999999996</v>
      </c>
      <c r="N17" s="5">
        <v>64</v>
      </c>
      <c r="O17" s="5">
        <v>27.1</v>
      </c>
      <c r="P17" s="5">
        <v>4.57</v>
      </c>
      <c r="Q17" s="5">
        <v>24.3</v>
      </c>
      <c r="R17" s="5">
        <v>64.3</v>
      </c>
      <c r="S17" s="5">
        <v>4.45</v>
      </c>
      <c r="T17" s="5">
        <v>21.7</v>
      </c>
      <c r="U17" s="5">
        <v>17</v>
      </c>
      <c r="V17" s="5">
        <v>63.7</v>
      </c>
      <c r="W17" s="5">
        <v>6.8</v>
      </c>
      <c r="X17" s="5">
        <v>60.8</v>
      </c>
      <c r="Y17" s="5">
        <v>2.61</v>
      </c>
      <c r="Z17" s="5">
        <v>18</v>
      </c>
      <c r="AA17" s="5">
        <v>18.600000000000001</v>
      </c>
      <c r="AB17" s="5">
        <v>33.4</v>
      </c>
      <c r="AC17" s="5">
        <v>3.08</v>
      </c>
      <c r="AD17" s="5">
        <v>5.98</v>
      </c>
      <c r="AE17" s="5">
        <v>9.11</v>
      </c>
      <c r="AF17" s="5">
        <v>81.8</v>
      </c>
      <c r="AG17" s="5">
        <v>10.4</v>
      </c>
      <c r="AH17" s="5">
        <v>1.85</v>
      </c>
      <c r="AI17" s="5">
        <v>13.1</v>
      </c>
      <c r="AJ17" s="5">
        <v>69.8</v>
      </c>
      <c r="AK17" s="5">
        <v>6.76</v>
      </c>
      <c r="AL17" s="5">
        <v>37.799999999999997</v>
      </c>
      <c r="AM17" s="5">
        <v>16.2</v>
      </c>
      <c r="AN17" s="5">
        <v>2.2400000000000002</v>
      </c>
      <c r="AO17" s="5">
        <v>0.8</v>
      </c>
      <c r="AP17" s="5">
        <v>34.9</v>
      </c>
      <c r="AQ17" s="5">
        <v>3.12</v>
      </c>
      <c r="AR17" s="5">
        <v>83.3</v>
      </c>
      <c r="AS17" s="5">
        <v>14.2</v>
      </c>
      <c r="AT17" s="5">
        <v>2.4900000000000002</v>
      </c>
      <c r="AU17" s="5">
        <v>55.8</v>
      </c>
      <c r="AV17" s="5">
        <v>8.8699999999999992</v>
      </c>
      <c r="AW17" s="5">
        <v>34.4</v>
      </c>
      <c r="AX17" s="5">
        <v>1.43</v>
      </c>
      <c r="AY17" s="5">
        <v>56.2</v>
      </c>
      <c r="AZ17" s="5">
        <v>0.25</v>
      </c>
      <c r="BA17" s="5">
        <v>5.85</v>
      </c>
      <c r="BB17" s="5">
        <v>70.599999999999994</v>
      </c>
      <c r="BC17" s="5">
        <v>87.6</v>
      </c>
      <c r="BD17" s="5">
        <v>0.14000000000000001</v>
      </c>
      <c r="BE17" s="5">
        <v>1.99</v>
      </c>
      <c r="BF17" s="5">
        <v>18.600000000000001</v>
      </c>
      <c r="BG17" s="5">
        <v>-8.8800000000000008</v>
      </c>
      <c r="BH17" s="5">
        <v>237</v>
      </c>
      <c r="BI17" s="5">
        <v>224</v>
      </c>
      <c r="BJ17" s="5">
        <v>167</v>
      </c>
      <c r="BK17" s="5">
        <v>277</v>
      </c>
      <c r="BL17" s="5">
        <v>126</v>
      </c>
      <c r="BM17" s="5">
        <v>-43.7</v>
      </c>
    </row>
    <row r="18" spans="1:65" x14ac:dyDescent="0.2">
      <c r="A18" t="s">
        <v>471</v>
      </c>
      <c r="B18">
        <v>8.24</v>
      </c>
      <c r="C18">
        <v>1.45</v>
      </c>
      <c r="D18">
        <v>1.4E-2</v>
      </c>
      <c r="E18">
        <v>45.2</v>
      </c>
      <c r="F18">
        <v>53.4</v>
      </c>
      <c r="G18">
        <v>61.3</v>
      </c>
      <c r="H18" s="6">
        <v>8.7299999999999999E-3</v>
      </c>
      <c r="I18">
        <v>2.62</v>
      </c>
      <c r="J18">
        <v>2.87</v>
      </c>
      <c r="K18">
        <v>56.8</v>
      </c>
      <c r="L18">
        <v>26.2</v>
      </c>
      <c r="M18">
        <v>10.9</v>
      </c>
      <c r="N18">
        <v>67.3</v>
      </c>
      <c r="O18">
        <v>17.3</v>
      </c>
      <c r="P18">
        <v>4.1500000000000004</v>
      </c>
      <c r="Q18">
        <v>16.5</v>
      </c>
      <c r="R18">
        <v>58.9</v>
      </c>
      <c r="S18">
        <v>5.34</v>
      </c>
      <c r="T18">
        <v>14.3</v>
      </c>
      <c r="U18">
        <v>16.399999999999999</v>
      </c>
      <c r="V18">
        <v>67.400000000000006</v>
      </c>
      <c r="W18">
        <v>4.6399999999999997</v>
      </c>
      <c r="X18">
        <v>39.9</v>
      </c>
      <c r="Y18">
        <v>6.69</v>
      </c>
      <c r="Z18">
        <v>29.7</v>
      </c>
      <c r="AA18">
        <v>23.8</v>
      </c>
      <c r="AB18">
        <v>29.2</v>
      </c>
      <c r="AC18">
        <v>1.71</v>
      </c>
      <c r="AD18">
        <v>6.98</v>
      </c>
      <c r="AE18">
        <v>5</v>
      </c>
      <c r="AF18">
        <v>86.3</v>
      </c>
      <c r="AG18">
        <v>26.2</v>
      </c>
      <c r="AH18">
        <v>3.78</v>
      </c>
      <c r="AI18">
        <v>8.59</v>
      </c>
      <c r="AJ18">
        <v>72.5</v>
      </c>
      <c r="AK18">
        <v>12.7</v>
      </c>
      <c r="AL18">
        <v>12</v>
      </c>
      <c r="AM18">
        <v>51.5</v>
      </c>
      <c r="AN18">
        <v>0.41</v>
      </c>
      <c r="AO18">
        <v>1.8</v>
      </c>
      <c r="AP18">
        <v>2.97</v>
      </c>
      <c r="AQ18">
        <v>1.57</v>
      </c>
      <c r="AR18">
        <v>67.5</v>
      </c>
      <c r="AS18">
        <v>30.4</v>
      </c>
      <c r="AT18">
        <v>2.04</v>
      </c>
      <c r="AU18">
        <v>80.3</v>
      </c>
      <c r="AV18">
        <v>15.9</v>
      </c>
      <c r="AW18">
        <v>23.6</v>
      </c>
      <c r="AX18">
        <v>3.44</v>
      </c>
      <c r="AY18">
        <v>66.2</v>
      </c>
      <c r="AZ18">
        <v>0.16</v>
      </c>
      <c r="BA18">
        <v>10.4</v>
      </c>
      <c r="BB18">
        <v>61.7</v>
      </c>
      <c r="BC18">
        <v>50.5</v>
      </c>
      <c r="BD18">
        <v>0.16</v>
      </c>
      <c r="BE18">
        <v>3.34</v>
      </c>
      <c r="BF18">
        <v>16.8</v>
      </c>
      <c r="BG18">
        <v>-90.5</v>
      </c>
      <c r="BH18">
        <v>514</v>
      </c>
      <c r="BI18">
        <v>758</v>
      </c>
      <c r="BJ18">
        <v>314</v>
      </c>
      <c r="BK18">
        <v>580</v>
      </c>
      <c r="BL18">
        <v>164</v>
      </c>
      <c r="BM18">
        <v>-129</v>
      </c>
    </row>
    <row r="19" spans="1:65" x14ac:dyDescent="0.2">
      <c r="A19" s="7" t="s">
        <v>486</v>
      </c>
      <c r="B19" s="7">
        <v>12.1</v>
      </c>
      <c r="C19" s="7">
        <v>3.27</v>
      </c>
      <c r="D19" s="7">
        <v>5.1999999999999998E-2</v>
      </c>
      <c r="E19" s="7">
        <v>23.1</v>
      </c>
      <c r="F19" s="7">
        <v>73.5</v>
      </c>
      <c r="G19" s="7">
        <v>85.2</v>
      </c>
      <c r="H19" s="29">
        <v>6.5799999999999999E-3</v>
      </c>
      <c r="I19" s="7">
        <v>1.65</v>
      </c>
      <c r="J19" s="7">
        <v>3.21</v>
      </c>
      <c r="K19" s="7">
        <v>80.599999999999994</v>
      </c>
      <c r="L19" s="7">
        <v>28.5</v>
      </c>
      <c r="M19" s="7">
        <v>2.94</v>
      </c>
      <c r="N19" s="7">
        <v>54.6</v>
      </c>
      <c r="O19" s="7">
        <v>18.3</v>
      </c>
      <c r="P19" s="7">
        <v>7.97</v>
      </c>
      <c r="Q19" s="7">
        <v>24.7</v>
      </c>
      <c r="R19" s="7">
        <v>74.900000000000006</v>
      </c>
      <c r="S19" s="7">
        <v>1.93</v>
      </c>
      <c r="T19" s="7">
        <v>19.399999999999999</v>
      </c>
      <c r="U19" s="7">
        <v>8.19</v>
      </c>
      <c r="V19" s="7">
        <v>70.900000000000006</v>
      </c>
      <c r="W19" s="7">
        <v>0.9</v>
      </c>
      <c r="X19" s="7">
        <v>59.5</v>
      </c>
      <c r="Y19" s="7">
        <v>3.69</v>
      </c>
      <c r="Z19" s="7">
        <v>13.7</v>
      </c>
      <c r="AA19" s="7">
        <v>23.1</v>
      </c>
      <c r="AB19" s="7">
        <v>51.6</v>
      </c>
      <c r="AC19" s="7">
        <v>0.67</v>
      </c>
      <c r="AD19" s="7">
        <v>7.34</v>
      </c>
      <c r="AE19" s="7">
        <v>88.8</v>
      </c>
      <c r="AF19" s="7">
        <v>3.14</v>
      </c>
      <c r="AG19" s="7">
        <v>2.1000000000000001E-2</v>
      </c>
      <c r="AH19" s="7">
        <v>9.58</v>
      </c>
      <c r="AI19" s="7">
        <v>50.9</v>
      </c>
      <c r="AJ19" s="7">
        <v>5.39</v>
      </c>
      <c r="AK19" s="7">
        <v>2.4</v>
      </c>
      <c r="AL19" s="7">
        <v>34.1</v>
      </c>
      <c r="AM19" s="7">
        <v>22.4</v>
      </c>
      <c r="AN19" s="7">
        <v>33.299999999999997</v>
      </c>
      <c r="AO19" s="7">
        <v>0</v>
      </c>
      <c r="AP19" s="7">
        <v>75</v>
      </c>
      <c r="AQ19" s="7">
        <v>0</v>
      </c>
      <c r="AR19" s="7">
        <v>22.2</v>
      </c>
      <c r="AS19" s="7">
        <v>22.2</v>
      </c>
      <c r="AT19" s="7">
        <v>44.4</v>
      </c>
      <c r="AU19" s="7">
        <v>0</v>
      </c>
      <c r="AV19" s="7">
        <v>0</v>
      </c>
      <c r="AW19" s="7">
        <v>16.5</v>
      </c>
      <c r="AX19" s="7">
        <v>11.8</v>
      </c>
      <c r="AY19" s="7">
        <v>70.599999999999994</v>
      </c>
      <c r="AZ19" s="7">
        <v>7.95</v>
      </c>
      <c r="BA19" s="7">
        <v>7.95</v>
      </c>
      <c r="BB19" s="7">
        <v>63.1</v>
      </c>
      <c r="BC19" s="7">
        <v>65.099999999999994</v>
      </c>
      <c r="BD19" s="7">
        <v>16.899999999999999</v>
      </c>
      <c r="BE19" s="7">
        <v>1.0900000000000001</v>
      </c>
      <c r="BF19" s="7">
        <v>31.8</v>
      </c>
      <c r="BG19" s="7">
        <v>-9.43</v>
      </c>
      <c r="BH19" s="7">
        <v>465</v>
      </c>
      <c r="BI19" s="7">
        <v>242</v>
      </c>
      <c r="BJ19" s="7">
        <v>359</v>
      </c>
      <c r="BK19" s="7">
        <v>443</v>
      </c>
      <c r="BL19" s="7">
        <v>835</v>
      </c>
      <c r="BM19" s="7">
        <v>104</v>
      </c>
    </row>
    <row r="20" spans="1:65" x14ac:dyDescent="0.2">
      <c r="A20" t="s">
        <v>460</v>
      </c>
      <c r="B20">
        <v>17.399999999999999</v>
      </c>
      <c r="C20">
        <v>1.22</v>
      </c>
      <c r="D20">
        <v>5.7000000000000002E-2</v>
      </c>
      <c r="E20">
        <v>20.7</v>
      </c>
      <c r="F20">
        <v>78</v>
      </c>
      <c r="G20">
        <v>71.5</v>
      </c>
      <c r="H20" s="6">
        <v>8.8699999999999994E-3</v>
      </c>
      <c r="I20">
        <v>0.13</v>
      </c>
      <c r="J20">
        <v>1.1399999999999999</v>
      </c>
      <c r="K20">
        <v>70.099999999999994</v>
      </c>
      <c r="L20">
        <v>31.4</v>
      </c>
      <c r="M20">
        <v>9.0500000000000007</v>
      </c>
      <c r="N20">
        <v>25.6</v>
      </c>
      <c r="O20">
        <v>44.6</v>
      </c>
      <c r="P20">
        <v>16.600000000000001</v>
      </c>
      <c r="Q20">
        <v>57.9</v>
      </c>
      <c r="R20">
        <v>74.400000000000006</v>
      </c>
      <c r="S20">
        <v>2.4300000000000002</v>
      </c>
      <c r="T20">
        <v>15</v>
      </c>
      <c r="U20">
        <v>9.5299999999999994</v>
      </c>
      <c r="V20">
        <v>30.1</v>
      </c>
      <c r="W20">
        <v>2.36</v>
      </c>
      <c r="X20">
        <v>29.9</v>
      </c>
      <c r="Y20">
        <v>6.67</v>
      </c>
      <c r="Z20">
        <v>24.5</v>
      </c>
      <c r="AA20">
        <v>38.799999999999997</v>
      </c>
      <c r="AB20">
        <v>33.9</v>
      </c>
      <c r="AC20">
        <v>26.2</v>
      </c>
      <c r="AD20">
        <v>14.8</v>
      </c>
      <c r="AE20">
        <v>16.399999999999999</v>
      </c>
      <c r="AF20">
        <v>42.6</v>
      </c>
      <c r="AG20">
        <v>6.37</v>
      </c>
      <c r="AH20">
        <v>9.2899999999999991</v>
      </c>
      <c r="AI20">
        <v>18</v>
      </c>
      <c r="AJ20">
        <v>68.3</v>
      </c>
      <c r="AK20">
        <v>0.59</v>
      </c>
      <c r="AL20">
        <v>7.86</v>
      </c>
      <c r="AM20">
        <v>47.7</v>
      </c>
      <c r="AN20">
        <v>0.16</v>
      </c>
      <c r="AO20">
        <v>4.88</v>
      </c>
      <c r="AP20">
        <v>12.1</v>
      </c>
      <c r="AQ20">
        <v>30.2</v>
      </c>
      <c r="AR20">
        <v>85.7</v>
      </c>
      <c r="AS20">
        <v>8.93</v>
      </c>
      <c r="AT20">
        <v>5.25</v>
      </c>
      <c r="AU20">
        <v>59.1</v>
      </c>
      <c r="AV20">
        <v>4.03</v>
      </c>
      <c r="AW20">
        <v>35.9</v>
      </c>
      <c r="AX20">
        <v>4.79</v>
      </c>
      <c r="AY20">
        <v>57.1</v>
      </c>
      <c r="AZ20">
        <v>1.78</v>
      </c>
      <c r="BA20">
        <v>5.27</v>
      </c>
      <c r="BB20">
        <v>55.1</v>
      </c>
      <c r="BC20">
        <v>71.900000000000006</v>
      </c>
      <c r="BD20">
        <v>10.4</v>
      </c>
      <c r="BE20">
        <v>4.3099999999999996</v>
      </c>
      <c r="BF20">
        <v>51.1</v>
      </c>
      <c r="BG20">
        <v>-47</v>
      </c>
      <c r="BH20">
        <v>444</v>
      </c>
      <c r="BI20">
        <v>430</v>
      </c>
      <c r="BJ20">
        <v>98.4</v>
      </c>
      <c r="BK20">
        <v>347</v>
      </c>
      <c r="BL20">
        <v>75.2</v>
      </c>
      <c r="BM20">
        <v>-63.5</v>
      </c>
    </row>
    <row r="21" spans="1:65" x14ac:dyDescent="0.2">
      <c r="A21" s="5" t="s">
        <v>502</v>
      </c>
      <c r="B21" s="5">
        <v>16.100000000000001</v>
      </c>
      <c r="C21" s="5">
        <v>14.9</v>
      </c>
      <c r="D21" s="5">
        <v>0.13</v>
      </c>
      <c r="E21" s="5">
        <v>30.4</v>
      </c>
      <c r="F21" s="5">
        <v>54.6</v>
      </c>
      <c r="G21" s="5">
        <v>74.5</v>
      </c>
      <c r="H21" s="5">
        <v>8.2000000000000003E-2</v>
      </c>
      <c r="I21" s="5">
        <v>4.04</v>
      </c>
      <c r="J21" s="5">
        <v>0.69</v>
      </c>
      <c r="K21" s="5">
        <v>70.7</v>
      </c>
      <c r="L21" s="5">
        <v>56.3</v>
      </c>
      <c r="M21" s="5">
        <v>7.4</v>
      </c>
      <c r="N21" s="5">
        <v>75.7</v>
      </c>
      <c r="O21" s="5">
        <v>3.6</v>
      </c>
      <c r="P21" s="5">
        <v>1.25</v>
      </c>
      <c r="Q21" s="5">
        <v>3.46</v>
      </c>
      <c r="R21" s="5">
        <v>41.5</v>
      </c>
      <c r="S21" s="5">
        <v>19.3</v>
      </c>
      <c r="T21" s="5">
        <v>13.6</v>
      </c>
      <c r="U21" s="5">
        <v>13.4</v>
      </c>
      <c r="V21" s="5">
        <v>79.8</v>
      </c>
      <c r="W21" s="5">
        <v>0.57999999999999996</v>
      </c>
      <c r="X21" s="5">
        <v>19.899999999999999</v>
      </c>
      <c r="Y21" s="5">
        <v>18.399999999999999</v>
      </c>
      <c r="Z21" s="5">
        <v>47.6</v>
      </c>
      <c r="AA21" s="5">
        <v>14.1</v>
      </c>
      <c r="AB21" s="5">
        <v>12.8</v>
      </c>
      <c r="AC21" s="5">
        <v>1.2</v>
      </c>
      <c r="AD21" s="5">
        <v>1.08</v>
      </c>
      <c r="AE21" s="5">
        <v>13.1</v>
      </c>
      <c r="AF21" s="5">
        <v>84.6</v>
      </c>
      <c r="AG21" s="5">
        <v>6.62</v>
      </c>
      <c r="AH21" s="5">
        <v>4.2699999999999996</v>
      </c>
      <c r="AI21" s="5">
        <v>52.4</v>
      </c>
      <c r="AJ21" s="5">
        <v>33.200000000000003</v>
      </c>
      <c r="AK21" s="5">
        <v>1.1200000000000001</v>
      </c>
      <c r="AL21" s="5">
        <v>8.0299999999999994</v>
      </c>
      <c r="AM21" s="5">
        <v>25.2</v>
      </c>
      <c r="AN21" s="5">
        <v>0.54</v>
      </c>
      <c r="AO21" s="5">
        <v>3.09</v>
      </c>
      <c r="AP21" s="5">
        <v>20.6</v>
      </c>
      <c r="AQ21" s="5">
        <v>6.67</v>
      </c>
      <c r="AR21" s="5">
        <v>86.6</v>
      </c>
      <c r="AS21" s="5">
        <v>9.4600000000000009</v>
      </c>
      <c r="AT21" s="5">
        <v>3.73</v>
      </c>
      <c r="AU21" s="5">
        <v>69.400000000000006</v>
      </c>
      <c r="AV21" s="5">
        <v>3.89</v>
      </c>
      <c r="AW21" s="5">
        <v>58.9</v>
      </c>
      <c r="AX21" s="5">
        <v>5.22</v>
      </c>
      <c r="AY21" s="5">
        <v>33.6</v>
      </c>
      <c r="AZ21" s="5">
        <v>0.4</v>
      </c>
      <c r="BA21" s="5">
        <v>3.75</v>
      </c>
      <c r="BB21" s="5">
        <v>17.600000000000001</v>
      </c>
      <c r="BC21" s="5">
        <v>28</v>
      </c>
      <c r="BD21" s="5">
        <v>0.66</v>
      </c>
      <c r="BE21" s="5">
        <v>2.62</v>
      </c>
      <c r="BF21" s="5">
        <v>3.62</v>
      </c>
      <c r="BG21" s="5">
        <v>14.9</v>
      </c>
      <c r="BH21" s="5">
        <v>367</v>
      </c>
      <c r="BI21" s="5">
        <v>422</v>
      </c>
      <c r="BJ21" s="5">
        <v>94.1</v>
      </c>
      <c r="BK21" s="5">
        <v>531</v>
      </c>
      <c r="BL21" s="5">
        <v>458</v>
      </c>
      <c r="BM21" s="5">
        <v>-60.4</v>
      </c>
    </row>
    <row r="22" spans="1:65" x14ac:dyDescent="0.2">
      <c r="A22" s="4" t="s">
        <v>513</v>
      </c>
      <c r="B22" s="4">
        <v>42.6</v>
      </c>
      <c r="C22" s="4">
        <v>0.24</v>
      </c>
      <c r="D22" s="4">
        <v>6.8000000000000005E-2</v>
      </c>
      <c r="E22" s="4">
        <v>25.9</v>
      </c>
      <c r="F22" s="4">
        <v>73.8</v>
      </c>
      <c r="G22" s="4">
        <v>42.5</v>
      </c>
      <c r="H22" s="16">
        <v>7.5399999999999998E-3</v>
      </c>
      <c r="I22" s="4">
        <v>0.3</v>
      </c>
      <c r="J22" s="4">
        <v>7.52</v>
      </c>
      <c r="K22" s="4">
        <v>34.799999999999997</v>
      </c>
      <c r="L22" s="4">
        <v>23.2</v>
      </c>
      <c r="M22" s="4">
        <v>5.39</v>
      </c>
      <c r="N22" s="4">
        <v>18.600000000000001</v>
      </c>
      <c r="O22" s="4">
        <v>21</v>
      </c>
      <c r="P22" s="4">
        <v>53.2</v>
      </c>
      <c r="Q22" s="4">
        <v>70.599999999999994</v>
      </c>
      <c r="R22" s="4">
        <v>92.5</v>
      </c>
      <c r="S22" s="4">
        <v>0.4</v>
      </c>
      <c r="T22" s="4">
        <v>3.38</v>
      </c>
      <c r="U22" s="4">
        <v>3.75</v>
      </c>
      <c r="V22" s="4">
        <v>20.5</v>
      </c>
      <c r="W22" s="4">
        <v>3.18</v>
      </c>
      <c r="X22" s="4">
        <v>81.099999999999994</v>
      </c>
      <c r="Y22" s="4">
        <v>0.24</v>
      </c>
      <c r="Z22" s="4">
        <v>3.62</v>
      </c>
      <c r="AA22" s="4">
        <v>15</v>
      </c>
      <c r="AB22" s="4">
        <v>10.6</v>
      </c>
      <c r="AC22" s="4">
        <v>3.89</v>
      </c>
      <c r="AD22" s="4">
        <v>29.8</v>
      </c>
      <c r="AE22" s="4">
        <v>59.2</v>
      </c>
      <c r="AF22" s="4">
        <v>7.13</v>
      </c>
      <c r="AG22" s="4">
        <v>1.45</v>
      </c>
      <c r="AH22" s="4">
        <v>47.8</v>
      </c>
      <c r="AI22" s="4">
        <v>38.5</v>
      </c>
      <c r="AJ22" s="4">
        <v>2.3199999999999998</v>
      </c>
      <c r="AK22" s="4">
        <v>0.48</v>
      </c>
      <c r="AL22" s="4">
        <v>10.4</v>
      </c>
      <c r="AM22" s="4">
        <v>16.100000000000001</v>
      </c>
      <c r="AN22" s="4">
        <v>13.8</v>
      </c>
      <c r="AO22" s="4">
        <v>13.8</v>
      </c>
      <c r="AP22" s="4">
        <v>91.7</v>
      </c>
      <c r="AQ22" s="4">
        <v>0</v>
      </c>
      <c r="AR22" s="4">
        <v>46.6</v>
      </c>
      <c r="AS22" s="4">
        <v>12.1</v>
      </c>
      <c r="AT22" s="4">
        <v>37.9</v>
      </c>
      <c r="AU22" s="4">
        <v>8.33</v>
      </c>
      <c r="AV22" s="4">
        <v>0</v>
      </c>
      <c r="AW22" s="4">
        <v>59</v>
      </c>
      <c r="AX22" s="4">
        <v>11</v>
      </c>
      <c r="AY22" s="4">
        <v>28.4</v>
      </c>
      <c r="AZ22" s="4">
        <v>5.21</v>
      </c>
      <c r="BA22" s="4">
        <v>5.9</v>
      </c>
      <c r="BB22" s="4">
        <v>54.8</v>
      </c>
      <c r="BC22" s="4">
        <v>85.1</v>
      </c>
      <c r="BD22" s="4">
        <v>7.18</v>
      </c>
      <c r="BE22" s="4">
        <v>4.2</v>
      </c>
      <c r="BF22" s="4">
        <v>76.599999999999994</v>
      </c>
      <c r="BG22" s="4">
        <v>-30</v>
      </c>
      <c r="BH22" s="4">
        <v>701</v>
      </c>
      <c r="BI22" s="4">
        <v>226</v>
      </c>
      <c r="BJ22" s="4">
        <v>143</v>
      </c>
      <c r="BK22" s="4">
        <v>433</v>
      </c>
      <c r="BL22" s="4">
        <v>156</v>
      </c>
      <c r="BM22" s="4">
        <v>-30.4</v>
      </c>
    </row>
    <row r="23" spans="1:65" x14ac:dyDescent="0.2">
      <c r="A23" t="s">
        <v>485</v>
      </c>
      <c r="B23">
        <v>17.5</v>
      </c>
      <c r="C23">
        <v>4.96</v>
      </c>
      <c r="D23">
        <v>9.1999999999999998E-2</v>
      </c>
      <c r="E23">
        <v>31.5</v>
      </c>
      <c r="F23">
        <v>63.4</v>
      </c>
      <c r="G23">
        <v>64.5</v>
      </c>
      <c r="H23">
        <v>3.6999999999999998E-2</v>
      </c>
      <c r="I23">
        <v>2.72</v>
      </c>
      <c r="J23">
        <v>2.2000000000000002</v>
      </c>
      <c r="K23">
        <v>60.4</v>
      </c>
      <c r="L23">
        <v>39.700000000000003</v>
      </c>
      <c r="M23">
        <v>3.17</v>
      </c>
      <c r="N23">
        <v>39.299999999999997</v>
      </c>
      <c r="O23">
        <v>20.100000000000001</v>
      </c>
      <c r="P23">
        <v>38.1</v>
      </c>
      <c r="Q23">
        <v>53.7</v>
      </c>
      <c r="R23">
        <v>69.8</v>
      </c>
      <c r="S23">
        <v>2.35</v>
      </c>
      <c r="T23">
        <v>25.8</v>
      </c>
      <c r="U23">
        <v>11.5</v>
      </c>
      <c r="V23">
        <v>34.6</v>
      </c>
      <c r="W23">
        <v>3.06</v>
      </c>
      <c r="X23">
        <v>46.6</v>
      </c>
      <c r="Y23">
        <v>3.58</v>
      </c>
      <c r="Z23">
        <v>39.6</v>
      </c>
      <c r="AA23">
        <v>10.199999999999999</v>
      </c>
      <c r="AB23">
        <v>19</v>
      </c>
      <c r="AC23">
        <v>3.68</v>
      </c>
      <c r="AD23">
        <v>10.3</v>
      </c>
      <c r="AE23">
        <v>23.6</v>
      </c>
      <c r="AF23">
        <v>62.4</v>
      </c>
      <c r="AG23">
        <v>9.57</v>
      </c>
      <c r="AH23">
        <v>14.3</v>
      </c>
      <c r="AI23">
        <v>5.82</v>
      </c>
      <c r="AJ23">
        <v>45.1</v>
      </c>
      <c r="AK23">
        <v>32.299999999999997</v>
      </c>
      <c r="AL23">
        <v>15.4</v>
      </c>
      <c r="AM23">
        <v>25.8</v>
      </c>
      <c r="AN23">
        <v>1.49</v>
      </c>
      <c r="AO23">
        <v>0.75</v>
      </c>
      <c r="AP23">
        <v>2.48</v>
      </c>
      <c r="AQ23">
        <v>2.33</v>
      </c>
      <c r="AR23">
        <v>94.6</v>
      </c>
      <c r="AS23">
        <v>3.14</v>
      </c>
      <c r="AT23">
        <v>2.08</v>
      </c>
      <c r="AU23">
        <v>93.3</v>
      </c>
      <c r="AV23">
        <v>3.55</v>
      </c>
      <c r="AW23">
        <v>30.2</v>
      </c>
      <c r="AX23">
        <v>4.58</v>
      </c>
      <c r="AY23">
        <v>61</v>
      </c>
      <c r="AZ23">
        <v>1.99</v>
      </c>
      <c r="BA23">
        <v>27.6</v>
      </c>
      <c r="BB23">
        <v>66.5</v>
      </c>
      <c r="BC23">
        <v>72.5</v>
      </c>
      <c r="BD23">
        <v>1.05</v>
      </c>
      <c r="BE23">
        <v>14.4</v>
      </c>
      <c r="BF23">
        <v>84.9</v>
      </c>
      <c r="BG23">
        <v>168</v>
      </c>
      <c r="BH23">
        <v>536</v>
      </c>
      <c r="BI23">
        <v>694</v>
      </c>
      <c r="BJ23">
        <v>735</v>
      </c>
      <c r="BK23">
        <v>1014</v>
      </c>
      <c r="BL23">
        <v>531</v>
      </c>
      <c r="BM23">
        <v>65.8</v>
      </c>
    </row>
    <row r="24" spans="1:65" x14ac:dyDescent="0.2">
      <c r="A24" s="30" t="s">
        <v>501</v>
      </c>
      <c r="B24" s="30">
        <v>28</v>
      </c>
      <c r="C24" s="30">
        <v>2.89</v>
      </c>
      <c r="D24" s="30">
        <v>0.15</v>
      </c>
      <c r="E24" s="30">
        <v>44.6</v>
      </c>
      <c r="F24" s="30">
        <v>52.4</v>
      </c>
      <c r="G24" s="30">
        <v>54.9</v>
      </c>
      <c r="H24" s="30">
        <v>1.4999999999999999E-2</v>
      </c>
      <c r="I24" s="30">
        <v>0.27</v>
      </c>
      <c r="J24" s="30">
        <v>1.76</v>
      </c>
      <c r="K24" s="30">
        <v>53</v>
      </c>
      <c r="L24" s="30">
        <v>31.5</v>
      </c>
      <c r="M24" s="30">
        <v>9.6300000000000008</v>
      </c>
      <c r="N24" s="30">
        <v>48.8</v>
      </c>
      <c r="O24" s="30">
        <v>27.6</v>
      </c>
      <c r="P24" s="30">
        <v>12.6</v>
      </c>
      <c r="Q24" s="30">
        <v>33.799999999999997</v>
      </c>
      <c r="R24" s="30">
        <v>44.9</v>
      </c>
      <c r="S24" s="30">
        <v>10.3</v>
      </c>
      <c r="T24" s="30">
        <v>16.3</v>
      </c>
      <c r="U24" s="30">
        <v>15.8</v>
      </c>
      <c r="V24" s="30">
        <v>49.8</v>
      </c>
      <c r="W24" s="30">
        <v>6.02</v>
      </c>
      <c r="X24" s="30">
        <v>25.5</v>
      </c>
      <c r="Y24" s="30">
        <v>13.3</v>
      </c>
      <c r="Z24" s="30">
        <v>38.700000000000003</v>
      </c>
      <c r="AA24" s="30">
        <v>22.6</v>
      </c>
      <c r="AB24" s="30">
        <v>19.8</v>
      </c>
      <c r="AC24" s="30">
        <v>4.0199999999999996</v>
      </c>
      <c r="AD24" s="30">
        <v>14.8</v>
      </c>
      <c r="AE24" s="30">
        <v>15.2</v>
      </c>
      <c r="AF24" s="30">
        <v>66</v>
      </c>
      <c r="AG24" s="30">
        <v>13.2</v>
      </c>
      <c r="AH24" s="30">
        <v>1.75</v>
      </c>
      <c r="AI24" s="30">
        <v>10.6</v>
      </c>
      <c r="AJ24" s="30">
        <v>82.8</v>
      </c>
      <c r="AK24" s="30">
        <v>3.67</v>
      </c>
      <c r="AL24" s="30">
        <v>4.0599999999999996</v>
      </c>
      <c r="AM24" s="30">
        <v>17.5</v>
      </c>
      <c r="AN24" s="30">
        <v>0.44</v>
      </c>
      <c r="AO24" s="30">
        <v>0.39</v>
      </c>
      <c r="AP24" s="30">
        <v>7.99</v>
      </c>
      <c r="AQ24" s="30">
        <v>1.01</v>
      </c>
      <c r="AR24" s="30">
        <v>83.7</v>
      </c>
      <c r="AS24" s="30">
        <v>15.8</v>
      </c>
      <c r="AT24" s="30">
        <v>0.5</v>
      </c>
      <c r="AU24" s="30">
        <v>87.2</v>
      </c>
      <c r="AV24" s="30">
        <v>7.88</v>
      </c>
      <c r="AW24" s="30">
        <v>68.5</v>
      </c>
      <c r="AX24" s="30">
        <v>2.5</v>
      </c>
      <c r="AY24" s="30">
        <v>22.1</v>
      </c>
      <c r="AZ24" s="30">
        <v>0.5</v>
      </c>
      <c r="BA24" s="30">
        <v>6.33</v>
      </c>
      <c r="BB24" s="30">
        <v>66</v>
      </c>
      <c r="BC24" s="30">
        <v>74.599999999999994</v>
      </c>
      <c r="BD24" s="30">
        <v>1.85</v>
      </c>
      <c r="BE24" s="30">
        <v>2.63</v>
      </c>
      <c r="BF24" s="30">
        <v>27</v>
      </c>
      <c r="BG24" s="30">
        <v>-17.899999999999999</v>
      </c>
      <c r="BH24" s="30">
        <v>579</v>
      </c>
      <c r="BI24" s="30">
        <v>653</v>
      </c>
      <c r="BJ24" s="30">
        <v>484</v>
      </c>
      <c r="BK24" s="30">
        <v>559</v>
      </c>
      <c r="BL24" s="30">
        <v>150</v>
      </c>
      <c r="BM24" s="30">
        <v>-62.8</v>
      </c>
    </row>
    <row r="25" spans="1:65" x14ac:dyDescent="0.2">
      <c r="A25" s="7" t="s">
        <v>496</v>
      </c>
      <c r="B25" s="7">
        <v>2.38</v>
      </c>
      <c r="C25" s="7">
        <v>6</v>
      </c>
      <c r="D25" s="7">
        <v>0</v>
      </c>
      <c r="E25" s="7">
        <v>54.7</v>
      </c>
      <c r="F25" s="7">
        <v>39.299999999999997</v>
      </c>
      <c r="G25" s="7">
        <v>90.7</v>
      </c>
      <c r="H25" s="7">
        <v>1.4999999999999999E-2</v>
      </c>
      <c r="I25" s="7">
        <v>0.16</v>
      </c>
      <c r="J25" s="7">
        <v>2.14</v>
      </c>
      <c r="K25" s="7">
        <v>88.3</v>
      </c>
      <c r="L25" s="7">
        <v>28.2</v>
      </c>
      <c r="M25" s="7">
        <v>9.8800000000000008</v>
      </c>
      <c r="N25" s="7">
        <v>50</v>
      </c>
      <c r="O25" s="7">
        <v>29.1</v>
      </c>
      <c r="P25" s="7">
        <v>10.3</v>
      </c>
      <c r="Q25" s="7">
        <v>33.4</v>
      </c>
      <c r="R25" s="7">
        <v>63.4</v>
      </c>
      <c r="S25" s="7">
        <v>4.84</v>
      </c>
      <c r="T25" s="7">
        <v>29</v>
      </c>
      <c r="U25" s="7">
        <v>16.8</v>
      </c>
      <c r="V25" s="7">
        <v>50.2</v>
      </c>
      <c r="W25" s="7">
        <v>5.76</v>
      </c>
      <c r="X25" s="7">
        <v>45</v>
      </c>
      <c r="Y25" s="7">
        <v>5.64</v>
      </c>
      <c r="Z25" s="7">
        <v>25.4</v>
      </c>
      <c r="AA25" s="7">
        <v>24</v>
      </c>
      <c r="AB25" s="7">
        <v>57.8</v>
      </c>
      <c r="AC25" s="7">
        <v>1.69</v>
      </c>
      <c r="AD25" s="7">
        <v>18</v>
      </c>
      <c r="AE25" s="7">
        <v>19</v>
      </c>
      <c r="AF25" s="7">
        <v>61.3</v>
      </c>
      <c r="AG25" s="7">
        <v>4.13</v>
      </c>
      <c r="AH25" s="7">
        <v>29.4</v>
      </c>
      <c r="AI25" s="7">
        <v>1.31</v>
      </c>
      <c r="AJ25" s="7">
        <v>16.7</v>
      </c>
      <c r="AK25" s="7">
        <v>51.2</v>
      </c>
      <c r="AL25" s="7">
        <v>11.8</v>
      </c>
      <c r="AM25" s="7">
        <v>54.9</v>
      </c>
      <c r="AN25" s="7">
        <v>0.61</v>
      </c>
      <c r="AO25" s="7">
        <v>2.76</v>
      </c>
      <c r="AP25" s="7">
        <v>1.23</v>
      </c>
      <c r="AQ25" s="7">
        <v>1.05</v>
      </c>
      <c r="AR25" s="7">
        <v>81.3</v>
      </c>
      <c r="AS25" s="7">
        <v>16.100000000000001</v>
      </c>
      <c r="AT25" s="7">
        <v>2.38</v>
      </c>
      <c r="AU25" s="7">
        <v>88.1</v>
      </c>
      <c r="AV25" s="7">
        <v>10.5</v>
      </c>
      <c r="AW25" s="7">
        <v>18.600000000000001</v>
      </c>
      <c r="AX25" s="7">
        <v>4.9000000000000004</v>
      </c>
      <c r="AY25" s="7">
        <v>72.5</v>
      </c>
      <c r="AZ25" s="7">
        <v>0.39</v>
      </c>
      <c r="BA25" s="7">
        <v>7.5</v>
      </c>
      <c r="BB25" s="7">
        <v>65.3</v>
      </c>
      <c r="BC25" s="7">
        <v>68.400000000000006</v>
      </c>
      <c r="BD25" s="7">
        <v>0.18</v>
      </c>
      <c r="BE25" s="7">
        <v>2.83</v>
      </c>
      <c r="BF25" s="7">
        <v>17.600000000000001</v>
      </c>
      <c r="BG25" s="7">
        <v>-106</v>
      </c>
      <c r="BH25" s="7">
        <v>498</v>
      </c>
      <c r="BI25" s="7">
        <v>317</v>
      </c>
      <c r="BJ25" s="7">
        <v>371</v>
      </c>
      <c r="BK25" s="7">
        <v>684</v>
      </c>
      <c r="BL25" s="7">
        <v>138</v>
      </c>
      <c r="BM25" s="7">
        <v>-129</v>
      </c>
    </row>
    <row r="26" spans="1:65" x14ac:dyDescent="0.2">
      <c r="A26" t="s">
        <v>467</v>
      </c>
      <c r="B26">
        <v>10.9</v>
      </c>
      <c r="C26">
        <v>6.31</v>
      </c>
      <c r="D26">
        <v>9.4E-2</v>
      </c>
      <c r="E26">
        <v>30.4</v>
      </c>
      <c r="F26">
        <v>63.2</v>
      </c>
      <c r="G26">
        <v>83</v>
      </c>
      <c r="H26">
        <v>0.11</v>
      </c>
      <c r="I26">
        <v>0.19</v>
      </c>
      <c r="J26">
        <v>5.82</v>
      </c>
      <c r="K26">
        <v>76.900000000000006</v>
      </c>
      <c r="L26">
        <v>48.7</v>
      </c>
      <c r="M26">
        <v>4.9800000000000004</v>
      </c>
      <c r="N26">
        <v>35.700000000000003</v>
      </c>
      <c r="O26">
        <v>31.5</v>
      </c>
      <c r="P26">
        <v>20.3</v>
      </c>
      <c r="Q26">
        <v>48</v>
      </c>
      <c r="R26">
        <v>52.4</v>
      </c>
      <c r="S26">
        <v>6.46</v>
      </c>
      <c r="T26">
        <v>15</v>
      </c>
      <c r="U26">
        <v>17.600000000000001</v>
      </c>
      <c r="V26">
        <v>42.6</v>
      </c>
      <c r="W26">
        <v>3.26</v>
      </c>
      <c r="X26">
        <v>50.4</v>
      </c>
      <c r="Y26">
        <v>5.08</v>
      </c>
      <c r="Z26">
        <v>18.399999999999999</v>
      </c>
      <c r="AA26">
        <v>26</v>
      </c>
      <c r="AB26">
        <v>25.9</v>
      </c>
      <c r="AC26">
        <v>1.57</v>
      </c>
      <c r="AD26">
        <v>3.55</v>
      </c>
      <c r="AE26">
        <v>81.3</v>
      </c>
      <c r="AF26">
        <v>13.6</v>
      </c>
      <c r="AG26">
        <v>3.36</v>
      </c>
      <c r="AH26">
        <v>14.1</v>
      </c>
      <c r="AI26">
        <v>33.1</v>
      </c>
      <c r="AJ26">
        <v>42.4</v>
      </c>
      <c r="AK26">
        <v>1.94</v>
      </c>
      <c r="AL26">
        <v>4.74</v>
      </c>
      <c r="AM26">
        <v>20.9</v>
      </c>
      <c r="AN26">
        <v>0.57999999999999996</v>
      </c>
      <c r="AO26">
        <v>2.48</v>
      </c>
      <c r="AP26">
        <v>13.4</v>
      </c>
      <c r="AQ26">
        <v>2.36</v>
      </c>
      <c r="AR26">
        <v>95.9</v>
      </c>
      <c r="AS26">
        <v>1.51</v>
      </c>
      <c r="AT26">
        <v>1.3</v>
      </c>
      <c r="AU26">
        <v>89</v>
      </c>
      <c r="AV26">
        <v>0</v>
      </c>
      <c r="AW26">
        <v>66.599999999999994</v>
      </c>
      <c r="AX26">
        <v>6.36</v>
      </c>
      <c r="AY26">
        <v>24</v>
      </c>
      <c r="AZ26">
        <v>2.36</v>
      </c>
      <c r="BA26">
        <v>39.5</v>
      </c>
      <c r="BB26">
        <v>61.4</v>
      </c>
      <c r="BC26">
        <v>84.4</v>
      </c>
      <c r="BD26">
        <v>13.6</v>
      </c>
      <c r="BE26">
        <v>6.45</v>
      </c>
      <c r="BF26">
        <v>54.3</v>
      </c>
      <c r="BG26">
        <v>46.3</v>
      </c>
      <c r="BH26">
        <v>428</v>
      </c>
      <c r="BI26">
        <v>291</v>
      </c>
      <c r="BJ26">
        <v>352</v>
      </c>
      <c r="BK26">
        <v>623</v>
      </c>
      <c r="BL26">
        <v>54.2</v>
      </c>
      <c r="BM26">
        <v>24.3</v>
      </c>
    </row>
    <row r="27" spans="1:65" x14ac:dyDescent="0.2">
      <c r="A27" t="s">
        <v>484</v>
      </c>
      <c r="B27">
        <v>10.8</v>
      </c>
      <c r="C27">
        <v>6.86</v>
      </c>
      <c r="D27">
        <v>0.01</v>
      </c>
      <c r="E27">
        <v>50</v>
      </c>
      <c r="F27">
        <v>43.1</v>
      </c>
      <c r="G27">
        <v>59.2</v>
      </c>
      <c r="H27">
        <v>5.3999999999999999E-2</v>
      </c>
      <c r="I27">
        <v>0.85</v>
      </c>
      <c r="J27">
        <v>8.4</v>
      </c>
      <c r="K27">
        <v>50.2</v>
      </c>
      <c r="L27">
        <v>19.399999999999999</v>
      </c>
      <c r="M27">
        <v>9.8000000000000007</v>
      </c>
      <c r="N27">
        <v>34.200000000000003</v>
      </c>
      <c r="O27">
        <v>41.3</v>
      </c>
      <c r="P27">
        <v>12.8</v>
      </c>
      <c r="Q27">
        <v>53</v>
      </c>
      <c r="R27">
        <v>96.3</v>
      </c>
      <c r="S27">
        <v>0.1</v>
      </c>
      <c r="T27">
        <v>23.5</v>
      </c>
      <c r="U27">
        <v>0.38</v>
      </c>
      <c r="V27">
        <v>36.200000000000003</v>
      </c>
      <c r="W27">
        <v>0.66</v>
      </c>
      <c r="X27">
        <v>85.6</v>
      </c>
      <c r="Y27">
        <v>1.27</v>
      </c>
      <c r="Z27">
        <v>12.7</v>
      </c>
      <c r="AA27">
        <v>0.42</v>
      </c>
      <c r="AB27">
        <v>29.3</v>
      </c>
      <c r="AC27">
        <v>5.87</v>
      </c>
      <c r="AD27">
        <v>29.6</v>
      </c>
      <c r="AE27">
        <v>37.6</v>
      </c>
      <c r="AF27">
        <v>26.9</v>
      </c>
      <c r="AG27">
        <v>23.1</v>
      </c>
      <c r="AH27">
        <v>3.81</v>
      </c>
      <c r="AI27">
        <v>7.2</v>
      </c>
      <c r="AJ27">
        <v>76.7</v>
      </c>
      <c r="AK27">
        <v>10.8</v>
      </c>
      <c r="AL27">
        <v>5.66</v>
      </c>
      <c r="AM27">
        <v>57</v>
      </c>
      <c r="AN27">
        <v>0.28999999999999998</v>
      </c>
      <c r="AO27">
        <v>2.13</v>
      </c>
      <c r="AP27">
        <v>2.94</v>
      </c>
      <c r="AQ27">
        <v>2.0099999999999998</v>
      </c>
      <c r="AR27">
        <v>84</v>
      </c>
      <c r="AS27">
        <v>13.9</v>
      </c>
      <c r="AT27">
        <v>1.95</v>
      </c>
      <c r="AU27">
        <v>89.2</v>
      </c>
      <c r="AV27">
        <v>7.09</v>
      </c>
      <c r="AW27">
        <v>28.4</v>
      </c>
      <c r="AX27">
        <v>2.8</v>
      </c>
      <c r="AY27">
        <v>63.4</v>
      </c>
      <c r="AZ27">
        <v>3.01</v>
      </c>
      <c r="BA27">
        <v>11.8</v>
      </c>
      <c r="BB27">
        <v>73.2</v>
      </c>
      <c r="BC27">
        <v>74</v>
      </c>
      <c r="BD27">
        <v>1.77</v>
      </c>
      <c r="BE27">
        <v>2.6</v>
      </c>
      <c r="BF27">
        <v>25.8</v>
      </c>
      <c r="BG27">
        <v>22.9</v>
      </c>
      <c r="BH27">
        <v>486</v>
      </c>
      <c r="BI27">
        <v>359</v>
      </c>
      <c r="BJ27">
        <v>317</v>
      </c>
      <c r="BK27">
        <v>679</v>
      </c>
      <c r="BL27">
        <v>109</v>
      </c>
      <c r="BM27">
        <v>24.4</v>
      </c>
    </row>
    <row r="28" spans="1:65" x14ac:dyDescent="0.2">
      <c r="A28" t="s">
        <v>483</v>
      </c>
      <c r="B28">
        <v>2.4700000000000002</v>
      </c>
      <c r="C28">
        <v>9.93</v>
      </c>
      <c r="D28">
        <v>0.33</v>
      </c>
      <c r="E28">
        <v>54.4</v>
      </c>
      <c r="F28">
        <v>35.299999999999997</v>
      </c>
      <c r="G28">
        <v>64.8</v>
      </c>
      <c r="H28" s="6">
        <v>9.0799999999999995E-3</v>
      </c>
      <c r="I28">
        <v>0.13</v>
      </c>
      <c r="J28">
        <v>1.37</v>
      </c>
      <c r="K28">
        <v>63.4</v>
      </c>
      <c r="L28">
        <v>33.1</v>
      </c>
      <c r="M28">
        <v>6.52</v>
      </c>
      <c r="N28">
        <v>67</v>
      </c>
      <c r="O28">
        <v>17.8</v>
      </c>
      <c r="P28">
        <v>6.95</v>
      </c>
      <c r="Q28">
        <v>22.1</v>
      </c>
      <c r="R28">
        <v>64.599999999999994</v>
      </c>
      <c r="S28">
        <v>4.46</v>
      </c>
      <c r="T28">
        <v>3.21</v>
      </c>
      <c r="U28">
        <v>16.399999999999999</v>
      </c>
      <c r="V28">
        <v>67.8</v>
      </c>
      <c r="W28">
        <v>3.68</v>
      </c>
      <c r="X28">
        <v>53.7</v>
      </c>
      <c r="Y28">
        <v>1.37</v>
      </c>
      <c r="Z28">
        <v>35.6</v>
      </c>
      <c r="AA28">
        <v>9.34</v>
      </c>
      <c r="AB28">
        <v>29.1</v>
      </c>
      <c r="AC28">
        <v>1.31</v>
      </c>
      <c r="AD28">
        <v>2.25</v>
      </c>
      <c r="AE28">
        <v>6.38</v>
      </c>
      <c r="AF28">
        <v>90</v>
      </c>
      <c r="AG28">
        <v>31</v>
      </c>
      <c r="AH28">
        <v>8.3699999999999992</v>
      </c>
      <c r="AI28">
        <v>3.82</v>
      </c>
      <c r="AJ28">
        <v>84</v>
      </c>
      <c r="AK28">
        <v>2.65</v>
      </c>
      <c r="AL28">
        <v>2.77</v>
      </c>
      <c r="AM28">
        <v>64.7</v>
      </c>
      <c r="AN28">
        <v>0.25</v>
      </c>
      <c r="AO28">
        <v>2.2000000000000002</v>
      </c>
      <c r="AP28">
        <v>9.7100000000000009</v>
      </c>
      <c r="AQ28">
        <v>18</v>
      </c>
      <c r="AR28">
        <v>85.6</v>
      </c>
      <c r="AS28">
        <v>12</v>
      </c>
      <c r="AT28">
        <v>2.17</v>
      </c>
      <c r="AU28">
        <v>68.099999999999994</v>
      </c>
      <c r="AV28">
        <v>5.15</v>
      </c>
      <c r="AW28">
        <v>21.2</v>
      </c>
      <c r="AX28">
        <v>3.47</v>
      </c>
      <c r="AY28">
        <v>71.3</v>
      </c>
      <c r="AZ28">
        <v>0.14000000000000001</v>
      </c>
      <c r="BA28">
        <v>7.09</v>
      </c>
      <c r="BB28">
        <v>35.6</v>
      </c>
      <c r="BC28">
        <v>64.8</v>
      </c>
      <c r="BD28">
        <v>9.8000000000000004E-2</v>
      </c>
      <c r="BE28">
        <v>2.39</v>
      </c>
      <c r="BF28">
        <v>5.68</v>
      </c>
      <c r="BG28">
        <v>36.5</v>
      </c>
      <c r="BH28">
        <v>548</v>
      </c>
      <c r="BI28">
        <v>689</v>
      </c>
      <c r="BJ28">
        <v>568</v>
      </c>
      <c r="BK28">
        <v>1016</v>
      </c>
      <c r="BL28">
        <v>561</v>
      </c>
      <c r="BM28">
        <v>-4.3</v>
      </c>
    </row>
    <row r="29" spans="1:65" x14ac:dyDescent="0.2">
      <c r="A29" t="s">
        <v>495</v>
      </c>
      <c r="B29">
        <v>8.2799999999999994</v>
      </c>
      <c r="C29">
        <v>6.71</v>
      </c>
      <c r="D29">
        <v>1.2999999999999999E-2</v>
      </c>
      <c r="E29">
        <v>33.700000000000003</v>
      </c>
      <c r="F29">
        <v>59.6</v>
      </c>
      <c r="G29">
        <v>72</v>
      </c>
      <c r="H29">
        <v>2.4E-2</v>
      </c>
      <c r="I29">
        <v>4.7300000000000004</v>
      </c>
      <c r="J29">
        <v>5.32</v>
      </c>
      <c r="K29">
        <v>63.2</v>
      </c>
      <c r="L29">
        <v>42</v>
      </c>
      <c r="M29">
        <v>7.1</v>
      </c>
      <c r="N29">
        <v>38.5</v>
      </c>
      <c r="O29">
        <v>31.5</v>
      </c>
      <c r="P29">
        <v>21.5</v>
      </c>
      <c r="Q29">
        <v>47.5</v>
      </c>
      <c r="R29">
        <v>74.5</v>
      </c>
      <c r="S29">
        <v>1.75</v>
      </c>
      <c r="T29">
        <v>14.6</v>
      </c>
      <c r="U29">
        <v>4.41</v>
      </c>
      <c r="V29">
        <v>38.9</v>
      </c>
      <c r="W29">
        <v>6.52</v>
      </c>
      <c r="X29">
        <v>54.4</v>
      </c>
      <c r="Y29">
        <v>0.12</v>
      </c>
      <c r="Z29">
        <v>45</v>
      </c>
      <c r="AA29">
        <v>0.42</v>
      </c>
      <c r="AB29">
        <v>19.7</v>
      </c>
      <c r="AC29">
        <v>4.3</v>
      </c>
      <c r="AD29">
        <v>13.5</v>
      </c>
      <c r="AE29">
        <v>13.5</v>
      </c>
      <c r="AF29">
        <v>68.5</v>
      </c>
      <c r="AG29">
        <v>16.100000000000001</v>
      </c>
      <c r="AH29">
        <v>2.15</v>
      </c>
      <c r="AI29">
        <v>6.44</v>
      </c>
      <c r="AJ29">
        <v>66.900000000000006</v>
      </c>
      <c r="AK29">
        <v>22.6</v>
      </c>
      <c r="AL29">
        <v>8.73</v>
      </c>
      <c r="AM29">
        <v>32.9</v>
      </c>
      <c r="AN29">
        <v>0.38</v>
      </c>
      <c r="AO29">
        <v>0.76</v>
      </c>
      <c r="AP29">
        <v>2.34</v>
      </c>
      <c r="AQ29">
        <v>0.7</v>
      </c>
      <c r="AR29">
        <v>88</v>
      </c>
      <c r="AS29">
        <v>11</v>
      </c>
      <c r="AT29">
        <v>0.88</v>
      </c>
      <c r="AU29">
        <v>94.5</v>
      </c>
      <c r="AV29">
        <v>4.43</v>
      </c>
      <c r="AW29">
        <v>42.3</v>
      </c>
      <c r="AX29">
        <v>7.66</v>
      </c>
      <c r="AY29">
        <v>45</v>
      </c>
      <c r="AZ29">
        <v>0.35</v>
      </c>
      <c r="BA29">
        <v>10.1</v>
      </c>
      <c r="BB29">
        <v>47.5</v>
      </c>
      <c r="BC29">
        <v>58.2</v>
      </c>
      <c r="BD29">
        <v>0.26</v>
      </c>
      <c r="BE29">
        <v>2.2200000000000002</v>
      </c>
      <c r="BF29">
        <v>13.4</v>
      </c>
      <c r="BG29">
        <v>57.5</v>
      </c>
      <c r="BH29">
        <v>531</v>
      </c>
      <c r="BI29">
        <v>608</v>
      </c>
      <c r="BJ29">
        <v>514</v>
      </c>
      <c r="BK29">
        <v>1080</v>
      </c>
      <c r="BL29">
        <v>241</v>
      </c>
      <c r="BM29">
        <v>26.7</v>
      </c>
    </row>
    <row r="30" spans="1:65" x14ac:dyDescent="0.2">
      <c r="A30" s="7" t="s">
        <v>415</v>
      </c>
      <c r="B30" s="7">
        <v>7.15</v>
      </c>
      <c r="C30" s="7">
        <v>11.1</v>
      </c>
      <c r="D30" s="7">
        <v>0.04</v>
      </c>
      <c r="E30" s="7">
        <v>28.2</v>
      </c>
      <c r="F30" s="7">
        <v>60.7</v>
      </c>
      <c r="G30" s="7">
        <v>76.900000000000006</v>
      </c>
      <c r="H30" s="7">
        <v>1.0999999999999999E-2</v>
      </c>
      <c r="I30" s="7">
        <v>0.99</v>
      </c>
      <c r="J30" s="7">
        <v>4.66</v>
      </c>
      <c r="K30" s="7">
        <v>71.400000000000006</v>
      </c>
      <c r="L30" s="7">
        <v>33</v>
      </c>
      <c r="M30" s="7">
        <v>7.47</v>
      </c>
      <c r="N30" s="7">
        <v>50.3</v>
      </c>
      <c r="O30" s="7">
        <v>31.3</v>
      </c>
      <c r="P30" s="7">
        <v>8.33</v>
      </c>
      <c r="Q30" s="7">
        <v>36.6</v>
      </c>
      <c r="R30" s="7">
        <v>70.099999999999994</v>
      </c>
      <c r="S30" s="7">
        <v>2.57</v>
      </c>
      <c r="T30" s="7">
        <v>19.399999999999999</v>
      </c>
      <c r="U30" s="7">
        <v>16.100000000000001</v>
      </c>
      <c r="V30" s="7">
        <v>51.6</v>
      </c>
      <c r="W30" s="7">
        <v>4.57</v>
      </c>
      <c r="X30" s="7">
        <v>56.4</v>
      </c>
      <c r="Y30" s="7">
        <v>2.74</v>
      </c>
      <c r="Z30" s="7">
        <v>25.1</v>
      </c>
      <c r="AA30" s="7">
        <v>15.7</v>
      </c>
      <c r="AB30" s="7">
        <v>36.6</v>
      </c>
      <c r="AC30" s="7">
        <v>2.5499999999999998</v>
      </c>
      <c r="AD30" s="7">
        <v>5.07</v>
      </c>
      <c r="AE30" s="7">
        <v>2.5</v>
      </c>
      <c r="AF30" s="7">
        <v>89.8</v>
      </c>
      <c r="AG30" s="7">
        <v>13.8</v>
      </c>
      <c r="AH30" s="7">
        <v>4.75</v>
      </c>
      <c r="AI30" s="7">
        <v>5.2</v>
      </c>
      <c r="AJ30" s="7">
        <v>66.3</v>
      </c>
      <c r="AK30" s="7">
        <v>21.7</v>
      </c>
      <c r="AL30" s="7">
        <v>9.98</v>
      </c>
      <c r="AM30" s="7">
        <v>48.2</v>
      </c>
      <c r="AN30" s="7">
        <v>0.79</v>
      </c>
      <c r="AO30" s="7">
        <v>0.52</v>
      </c>
      <c r="AP30" s="7">
        <v>3.9</v>
      </c>
      <c r="AQ30" s="7">
        <v>0.28000000000000003</v>
      </c>
      <c r="AR30" s="7">
        <v>96.4</v>
      </c>
      <c r="AS30" s="7">
        <v>2.72</v>
      </c>
      <c r="AT30" s="7">
        <v>0.75</v>
      </c>
      <c r="AU30" s="7">
        <v>97.1</v>
      </c>
      <c r="AV30" s="7">
        <v>1.48</v>
      </c>
      <c r="AW30" s="7">
        <v>28.6</v>
      </c>
      <c r="AX30" s="7">
        <v>3.39</v>
      </c>
      <c r="AY30" s="7">
        <v>63.4</v>
      </c>
      <c r="AZ30" s="7">
        <v>0.2</v>
      </c>
      <c r="BA30" s="7">
        <v>26.1</v>
      </c>
      <c r="BB30" s="7">
        <v>53.2</v>
      </c>
      <c r="BC30" s="7">
        <v>32</v>
      </c>
      <c r="BD30" s="7">
        <v>0.27</v>
      </c>
      <c r="BE30" s="7">
        <v>4.45</v>
      </c>
      <c r="BF30" s="7">
        <v>13.7</v>
      </c>
      <c r="BG30" s="7">
        <v>47.9</v>
      </c>
      <c r="BH30" s="7">
        <v>569</v>
      </c>
      <c r="BI30" s="7">
        <v>403</v>
      </c>
      <c r="BJ30" s="7">
        <v>845</v>
      </c>
      <c r="BK30" s="7">
        <v>1125</v>
      </c>
      <c r="BL30" s="7">
        <v>385</v>
      </c>
      <c r="BM30" s="7">
        <v>8.93</v>
      </c>
    </row>
    <row r="31" spans="1:65" x14ac:dyDescent="0.2">
      <c r="A31" t="s">
        <v>494</v>
      </c>
      <c r="B31">
        <v>1.58</v>
      </c>
      <c r="C31">
        <v>23.4</v>
      </c>
      <c r="D31">
        <v>5</v>
      </c>
      <c r="E31">
        <v>47.4</v>
      </c>
      <c r="F31">
        <v>24.2</v>
      </c>
      <c r="G31">
        <v>95.5</v>
      </c>
      <c r="H31">
        <v>1.2999999999999999E-2</v>
      </c>
      <c r="I31">
        <v>0.08</v>
      </c>
      <c r="J31">
        <v>3.88</v>
      </c>
      <c r="K31">
        <v>91.5</v>
      </c>
      <c r="L31">
        <v>38.9</v>
      </c>
      <c r="M31">
        <v>9.73</v>
      </c>
      <c r="N31">
        <v>62.1</v>
      </c>
      <c r="O31">
        <v>22.6</v>
      </c>
      <c r="P31">
        <v>3.9</v>
      </c>
      <c r="Q31">
        <v>23.1</v>
      </c>
      <c r="R31">
        <v>39.299999999999997</v>
      </c>
      <c r="S31">
        <v>8.9499999999999993</v>
      </c>
      <c r="T31">
        <v>11.2</v>
      </c>
      <c r="U31">
        <v>19.2</v>
      </c>
      <c r="V31">
        <v>63.3</v>
      </c>
      <c r="W31">
        <v>4.3600000000000003</v>
      </c>
      <c r="X31">
        <v>15.9</v>
      </c>
      <c r="Y31">
        <v>14.3</v>
      </c>
      <c r="Z31">
        <v>40.1</v>
      </c>
      <c r="AA31">
        <v>29.7</v>
      </c>
      <c r="AB31">
        <v>50.8</v>
      </c>
      <c r="AC31">
        <v>2.2200000000000002</v>
      </c>
      <c r="AD31">
        <v>4.82</v>
      </c>
      <c r="AE31">
        <v>9.09</v>
      </c>
      <c r="AF31">
        <v>83.8</v>
      </c>
      <c r="AG31">
        <v>1.19</v>
      </c>
      <c r="AH31">
        <v>33.200000000000003</v>
      </c>
      <c r="AI31">
        <v>17.7</v>
      </c>
      <c r="AJ31">
        <v>28</v>
      </c>
      <c r="AK31">
        <v>14.7</v>
      </c>
      <c r="AL31">
        <v>22.1</v>
      </c>
      <c r="AM31">
        <v>49.4</v>
      </c>
      <c r="AN31">
        <v>9.91</v>
      </c>
      <c r="AO31">
        <v>4.83</v>
      </c>
      <c r="AP31">
        <v>17.899999999999999</v>
      </c>
      <c r="AQ31">
        <v>0.71</v>
      </c>
      <c r="AR31">
        <v>87.7</v>
      </c>
      <c r="AS31">
        <v>5.45</v>
      </c>
      <c r="AT31">
        <v>6.26</v>
      </c>
      <c r="AU31">
        <v>92.6</v>
      </c>
      <c r="AV31">
        <v>2.2400000000000002</v>
      </c>
      <c r="AW31">
        <v>11.2</v>
      </c>
      <c r="AX31">
        <v>7.72</v>
      </c>
      <c r="AY31">
        <v>78.900000000000006</v>
      </c>
      <c r="AZ31">
        <v>0.36</v>
      </c>
      <c r="BA31">
        <v>13.4</v>
      </c>
      <c r="BB31">
        <v>42.3</v>
      </c>
      <c r="BC31">
        <v>71.8</v>
      </c>
      <c r="BD31">
        <v>0.28000000000000003</v>
      </c>
      <c r="BE31">
        <v>7.2</v>
      </c>
      <c r="BF31">
        <v>22.4</v>
      </c>
      <c r="BG31">
        <v>113</v>
      </c>
      <c r="BH31">
        <v>905</v>
      </c>
      <c r="BI31">
        <v>936</v>
      </c>
      <c r="BJ31">
        <v>682</v>
      </c>
      <c r="BK31">
        <v>1269</v>
      </c>
      <c r="BL31">
        <v>476</v>
      </c>
      <c r="BM31">
        <v>46.1</v>
      </c>
    </row>
    <row r="32" spans="1:65" x14ac:dyDescent="0.2">
      <c r="A32" s="4" t="s">
        <v>439</v>
      </c>
      <c r="B32" s="4">
        <v>13.7</v>
      </c>
      <c r="C32" s="4">
        <v>7.85</v>
      </c>
      <c r="D32" s="4">
        <v>0.13</v>
      </c>
      <c r="E32" s="4">
        <v>49.8</v>
      </c>
      <c r="F32" s="4">
        <v>42.2</v>
      </c>
      <c r="G32" s="4">
        <v>78.599999999999994</v>
      </c>
      <c r="H32" s="4">
        <v>0.14000000000000001</v>
      </c>
      <c r="I32" s="4">
        <v>9.7000000000000003E-2</v>
      </c>
      <c r="J32" s="4">
        <v>1.35</v>
      </c>
      <c r="K32" s="4">
        <v>76.2</v>
      </c>
      <c r="L32" s="4">
        <v>49.2</v>
      </c>
      <c r="M32" s="4">
        <v>8.01</v>
      </c>
      <c r="N32" s="4">
        <v>61</v>
      </c>
      <c r="O32" s="4">
        <v>26.4</v>
      </c>
      <c r="P32" s="4">
        <v>3.36</v>
      </c>
      <c r="Q32" s="4">
        <v>25</v>
      </c>
      <c r="R32" s="4">
        <v>60.1</v>
      </c>
      <c r="S32" s="4">
        <v>3.85</v>
      </c>
      <c r="T32" s="4">
        <v>26.5</v>
      </c>
      <c r="U32" s="4">
        <v>9.52</v>
      </c>
      <c r="V32" s="4">
        <v>62</v>
      </c>
      <c r="W32" s="4">
        <v>5.19</v>
      </c>
      <c r="X32" s="4">
        <v>45.2</v>
      </c>
      <c r="Y32" s="4">
        <v>3.48</v>
      </c>
      <c r="Z32" s="4">
        <v>41.3</v>
      </c>
      <c r="AA32" s="4">
        <v>10</v>
      </c>
      <c r="AB32" s="4">
        <v>24.4</v>
      </c>
      <c r="AC32" s="4">
        <v>4.3600000000000003</v>
      </c>
      <c r="AD32" s="4">
        <v>1.83</v>
      </c>
      <c r="AE32" s="4">
        <v>3.14</v>
      </c>
      <c r="AF32" s="4">
        <v>90.7</v>
      </c>
      <c r="AG32" s="4">
        <v>3.61</v>
      </c>
      <c r="AH32" s="4">
        <v>18</v>
      </c>
      <c r="AI32" s="4">
        <v>15.5</v>
      </c>
      <c r="AJ32" s="4">
        <v>43</v>
      </c>
      <c r="AK32" s="4">
        <v>16.899999999999999</v>
      </c>
      <c r="AL32" s="4">
        <v>9.9</v>
      </c>
      <c r="AM32" s="4">
        <v>8.98</v>
      </c>
      <c r="AN32" s="4">
        <v>2.14</v>
      </c>
      <c r="AO32" s="4">
        <v>2.64</v>
      </c>
      <c r="AP32" s="4">
        <v>5.53</v>
      </c>
      <c r="AQ32" s="4">
        <v>11.9</v>
      </c>
      <c r="AR32" s="4">
        <v>24.1</v>
      </c>
      <c r="AS32" s="4">
        <v>72.400000000000006</v>
      </c>
      <c r="AT32" s="4">
        <v>3.36</v>
      </c>
      <c r="AU32" s="4">
        <v>48.3</v>
      </c>
      <c r="AV32" s="4">
        <v>36.4</v>
      </c>
      <c r="AW32" s="4">
        <v>41.8</v>
      </c>
      <c r="AX32" s="4">
        <v>10.3</v>
      </c>
      <c r="AY32" s="4">
        <v>24.3</v>
      </c>
      <c r="AZ32" s="4">
        <v>1.69</v>
      </c>
      <c r="BA32" s="4">
        <v>24.1</v>
      </c>
      <c r="BB32" s="4">
        <v>62.6</v>
      </c>
      <c r="BC32" s="4">
        <v>62.3</v>
      </c>
      <c r="BD32" s="4">
        <v>0.49</v>
      </c>
      <c r="BE32" s="4">
        <v>5.33</v>
      </c>
      <c r="BF32" s="4">
        <v>18.899999999999999</v>
      </c>
      <c r="BG32" s="4">
        <v>-19.2</v>
      </c>
      <c r="BH32" s="4">
        <v>622</v>
      </c>
      <c r="BI32" s="4">
        <v>476</v>
      </c>
      <c r="BJ32" s="4">
        <v>484</v>
      </c>
      <c r="BK32" s="4">
        <v>994</v>
      </c>
      <c r="BL32" s="4">
        <v>503</v>
      </c>
      <c r="BM32" s="4">
        <v>10.199999999999999</v>
      </c>
    </row>
    <row r="33" spans="1:65" x14ac:dyDescent="0.2">
      <c r="A33" t="s">
        <v>487</v>
      </c>
      <c r="B33">
        <v>4.84</v>
      </c>
      <c r="C33">
        <v>3.58</v>
      </c>
      <c r="D33">
        <v>0.44</v>
      </c>
      <c r="E33">
        <v>25.6</v>
      </c>
      <c r="F33">
        <v>70.400000000000006</v>
      </c>
      <c r="G33">
        <v>73.099999999999994</v>
      </c>
      <c r="H33">
        <v>1.2E-2</v>
      </c>
      <c r="I33">
        <v>0.36</v>
      </c>
      <c r="J33">
        <v>1.32</v>
      </c>
      <c r="K33">
        <v>71.5</v>
      </c>
      <c r="L33">
        <v>61.5</v>
      </c>
      <c r="M33">
        <v>3.33</v>
      </c>
      <c r="N33">
        <v>66.5</v>
      </c>
      <c r="O33">
        <v>24.6</v>
      </c>
      <c r="P33">
        <v>3.25</v>
      </c>
      <c r="Q33">
        <v>20.7</v>
      </c>
      <c r="R33">
        <v>58.9</v>
      </c>
      <c r="S33">
        <v>6.59</v>
      </c>
      <c r="T33">
        <v>32.6</v>
      </c>
      <c r="U33">
        <v>10.7</v>
      </c>
      <c r="V33">
        <v>67.5</v>
      </c>
      <c r="W33">
        <v>6.63</v>
      </c>
      <c r="X33">
        <v>50.9</v>
      </c>
      <c r="Y33">
        <v>4.09</v>
      </c>
      <c r="Z33">
        <v>33.700000000000003</v>
      </c>
      <c r="AA33">
        <v>11.4</v>
      </c>
      <c r="AB33">
        <v>9.67</v>
      </c>
      <c r="AC33">
        <v>5.5</v>
      </c>
      <c r="AD33">
        <v>16.7</v>
      </c>
      <c r="AE33">
        <v>36.200000000000003</v>
      </c>
      <c r="AF33">
        <v>41.6</v>
      </c>
      <c r="AG33">
        <v>20.3</v>
      </c>
      <c r="AH33">
        <v>8.94</v>
      </c>
      <c r="AI33">
        <v>8.65</v>
      </c>
      <c r="AJ33">
        <v>70.2</v>
      </c>
      <c r="AK33">
        <v>6.34</v>
      </c>
      <c r="AL33">
        <v>26.6</v>
      </c>
      <c r="AM33">
        <v>3.31</v>
      </c>
      <c r="AN33">
        <v>0.42</v>
      </c>
      <c r="AO33">
        <v>0.25</v>
      </c>
      <c r="AP33">
        <v>11.5</v>
      </c>
      <c r="AQ33">
        <v>0.77</v>
      </c>
      <c r="AR33">
        <v>89.6</v>
      </c>
      <c r="AS33">
        <v>10</v>
      </c>
      <c r="AT33">
        <v>0.39</v>
      </c>
      <c r="AU33">
        <v>70.2</v>
      </c>
      <c r="AV33">
        <v>18.5</v>
      </c>
      <c r="AW33">
        <v>57.7</v>
      </c>
      <c r="AX33">
        <v>5.43</v>
      </c>
      <c r="AY33">
        <v>32.5</v>
      </c>
      <c r="AZ33">
        <v>0.76</v>
      </c>
      <c r="BA33">
        <v>6.55</v>
      </c>
      <c r="BB33">
        <v>73.7</v>
      </c>
      <c r="BC33">
        <v>60.3</v>
      </c>
      <c r="BD33">
        <v>0.13</v>
      </c>
      <c r="BE33">
        <v>1.19</v>
      </c>
      <c r="BF33">
        <v>19.8</v>
      </c>
      <c r="BG33">
        <v>14.5</v>
      </c>
      <c r="BH33">
        <v>342</v>
      </c>
      <c r="BI33">
        <v>267</v>
      </c>
      <c r="BJ33">
        <v>299</v>
      </c>
      <c r="BK33">
        <v>318</v>
      </c>
      <c r="BL33">
        <v>99.7</v>
      </c>
      <c r="BM33">
        <v>-12</v>
      </c>
    </row>
    <row r="34" spans="1:65" x14ac:dyDescent="0.2">
      <c r="A34" s="7" t="s">
        <v>470</v>
      </c>
      <c r="B34" s="7">
        <v>20.399999999999999</v>
      </c>
      <c r="C34" s="7">
        <v>8.61</v>
      </c>
      <c r="D34" s="7">
        <v>1.48</v>
      </c>
      <c r="E34" s="7">
        <v>23.9</v>
      </c>
      <c r="F34" s="7">
        <v>66.099999999999994</v>
      </c>
      <c r="G34" s="7">
        <v>74.7</v>
      </c>
      <c r="H34" s="7">
        <v>1.2E-2</v>
      </c>
      <c r="I34" s="7">
        <v>0.36</v>
      </c>
      <c r="J34" s="7">
        <v>0.34</v>
      </c>
      <c r="K34" s="7">
        <v>74</v>
      </c>
      <c r="L34" s="7">
        <v>42.6</v>
      </c>
      <c r="M34" s="7">
        <v>6.9</v>
      </c>
      <c r="N34" s="7">
        <v>38</v>
      </c>
      <c r="O34" s="7">
        <v>39.4</v>
      </c>
      <c r="P34" s="7">
        <v>13.3</v>
      </c>
      <c r="Q34" s="7">
        <v>43.8</v>
      </c>
      <c r="R34" s="7">
        <v>43.5</v>
      </c>
      <c r="S34" s="7">
        <v>14.1</v>
      </c>
      <c r="T34" s="7">
        <v>23.8</v>
      </c>
      <c r="U34" s="7">
        <v>22.4</v>
      </c>
      <c r="V34" s="7">
        <v>39.4</v>
      </c>
      <c r="W34" s="7">
        <v>10.5</v>
      </c>
      <c r="X34" s="7">
        <v>28.8</v>
      </c>
      <c r="Y34" s="7">
        <v>6.75</v>
      </c>
      <c r="Z34" s="7">
        <v>40.299999999999997</v>
      </c>
      <c r="AA34" s="7">
        <v>24.1</v>
      </c>
      <c r="AB34" s="7">
        <v>28.5</v>
      </c>
      <c r="AC34" s="7">
        <v>19.399999999999999</v>
      </c>
      <c r="AD34" s="7">
        <v>17.5</v>
      </c>
      <c r="AE34" s="7">
        <v>32.9</v>
      </c>
      <c r="AF34" s="7">
        <v>29.7</v>
      </c>
      <c r="AG34" s="7">
        <v>2.91</v>
      </c>
      <c r="AH34" s="7">
        <v>1.82</v>
      </c>
      <c r="AI34" s="7">
        <v>3.87</v>
      </c>
      <c r="AJ34" s="7">
        <v>90.8</v>
      </c>
      <c r="AK34" s="7">
        <v>2.2799999999999998</v>
      </c>
      <c r="AL34" s="7">
        <v>3.56</v>
      </c>
      <c r="AM34" s="7">
        <v>33.799999999999997</v>
      </c>
      <c r="AN34" s="7">
        <v>0.44</v>
      </c>
      <c r="AO34" s="7">
        <v>0.17</v>
      </c>
      <c r="AP34" s="7">
        <v>8.76</v>
      </c>
      <c r="AQ34" s="7">
        <v>2.42</v>
      </c>
      <c r="AR34" s="7">
        <v>93.9</v>
      </c>
      <c r="AS34" s="7">
        <v>5.5</v>
      </c>
      <c r="AT34" s="7">
        <v>0.57999999999999996</v>
      </c>
      <c r="AU34" s="7">
        <v>93.1</v>
      </c>
      <c r="AV34" s="7">
        <v>1.21</v>
      </c>
      <c r="AW34" s="7">
        <v>51.4</v>
      </c>
      <c r="AX34" s="7">
        <v>2.67</v>
      </c>
      <c r="AY34" s="7">
        <v>42</v>
      </c>
      <c r="AZ34" s="7">
        <v>0.67</v>
      </c>
      <c r="BA34" s="7">
        <v>2.2799999999999998</v>
      </c>
      <c r="BB34" s="7">
        <v>25.5</v>
      </c>
      <c r="BC34" s="7">
        <v>36.1</v>
      </c>
      <c r="BD34" s="7">
        <v>0.23</v>
      </c>
      <c r="BE34" s="7">
        <v>2.0099999999999998</v>
      </c>
      <c r="BF34" s="7">
        <v>4.08</v>
      </c>
      <c r="BG34" s="7">
        <v>41.6</v>
      </c>
      <c r="BH34" s="7">
        <v>416</v>
      </c>
      <c r="BI34" s="7">
        <v>445</v>
      </c>
      <c r="BJ34" s="7">
        <v>67.400000000000006</v>
      </c>
      <c r="BK34" s="7">
        <v>309</v>
      </c>
      <c r="BL34" s="7">
        <v>194</v>
      </c>
      <c r="BM34" s="7">
        <v>1.37</v>
      </c>
    </row>
    <row r="35" spans="1:65" x14ac:dyDescent="0.2">
      <c r="A35" t="s">
        <v>465</v>
      </c>
      <c r="B35">
        <v>8.69</v>
      </c>
      <c r="C35">
        <v>4.33</v>
      </c>
      <c r="D35">
        <v>2.0699999999999998</v>
      </c>
      <c r="E35">
        <v>13.4</v>
      </c>
      <c r="F35">
        <v>80.2</v>
      </c>
      <c r="G35">
        <v>83.2</v>
      </c>
      <c r="H35" s="6">
        <v>8.5100000000000002E-3</v>
      </c>
      <c r="I35">
        <v>0.28999999999999998</v>
      </c>
      <c r="J35">
        <v>9.58</v>
      </c>
      <c r="K35">
        <v>73.400000000000006</v>
      </c>
      <c r="L35">
        <v>29.7</v>
      </c>
      <c r="M35">
        <v>18.399999999999999</v>
      </c>
      <c r="N35">
        <v>16</v>
      </c>
      <c r="O35">
        <v>32.5</v>
      </c>
      <c r="P35">
        <v>31.9</v>
      </c>
      <c r="Q35">
        <v>61.3</v>
      </c>
      <c r="R35">
        <v>81.3</v>
      </c>
      <c r="S35">
        <v>1.26</v>
      </c>
      <c r="T35">
        <v>20</v>
      </c>
      <c r="U35">
        <v>7.34</v>
      </c>
      <c r="V35">
        <v>13.6</v>
      </c>
      <c r="W35">
        <v>4.2300000000000004</v>
      </c>
      <c r="X35">
        <v>69.099999999999994</v>
      </c>
      <c r="Y35">
        <v>1.08</v>
      </c>
      <c r="Z35">
        <v>23.8</v>
      </c>
      <c r="AA35">
        <v>6.01</v>
      </c>
      <c r="AB35">
        <v>42.1</v>
      </c>
      <c r="AC35">
        <v>8.43</v>
      </c>
      <c r="AD35">
        <v>19</v>
      </c>
      <c r="AE35">
        <v>55.7</v>
      </c>
      <c r="AF35">
        <v>16.600000000000001</v>
      </c>
      <c r="AG35">
        <v>3.13</v>
      </c>
      <c r="AH35">
        <v>22.6</v>
      </c>
      <c r="AI35">
        <v>41.3</v>
      </c>
      <c r="AJ35">
        <v>8.86</v>
      </c>
      <c r="AK35">
        <v>5.64</v>
      </c>
      <c r="AL35">
        <v>10.1</v>
      </c>
      <c r="AM35">
        <v>58.3</v>
      </c>
      <c r="AN35">
        <v>10.5</v>
      </c>
      <c r="AO35">
        <v>45</v>
      </c>
      <c r="AP35">
        <v>70.5</v>
      </c>
      <c r="AQ35">
        <v>14.7</v>
      </c>
      <c r="AR35">
        <v>25.8</v>
      </c>
      <c r="AS35">
        <v>1.68</v>
      </c>
      <c r="AT35">
        <v>69.7</v>
      </c>
      <c r="AU35">
        <v>11.7</v>
      </c>
      <c r="AV35">
        <v>0.46</v>
      </c>
      <c r="AW35">
        <v>2.73</v>
      </c>
      <c r="AX35">
        <v>2.5299999999999998</v>
      </c>
      <c r="AY35">
        <v>93.6</v>
      </c>
      <c r="AZ35">
        <v>3.8</v>
      </c>
      <c r="BA35">
        <v>5.97</v>
      </c>
      <c r="BB35">
        <v>50.3</v>
      </c>
      <c r="BC35">
        <v>67.2</v>
      </c>
      <c r="BD35">
        <v>1.39</v>
      </c>
      <c r="BE35">
        <v>4.8499999999999996</v>
      </c>
      <c r="BF35">
        <v>56.7</v>
      </c>
      <c r="BG35">
        <v>240</v>
      </c>
      <c r="BH35">
        <v>858</v>
      </c>
      <c r="BI35">
        <v>694</v>
      </c>
      <c r="BJ35">
        <v>309</v>
      </c>
      <c r="BK35">
        <v>1029</v>
      </c>
      <c r="BL35">
        <v>207</v>
      </c>
      <c r="BM35">
        <v>157</v>
      </c>
    </row>
    <row r="36" spans="1:65" x14ac:dyDescent="0.2">
      <c r="A36" t="s">
        <v>482</v>
      </c>
      <c r="B36">
        <v>6.7</v>
      </c>
      <c r="C36">
        <v>3.5</v>
      </c>
      <c r="D36">
        <v>1.2999999999999999E-2</v>
      </c>
      <c r="E36">
        <v>41.1</v>
      </c>
      <c r="F36">
        <v>55.3</v>
      </c>
      <c r="G36">
        <v>66.900000000000006</v>
      </c>
      <c r="H36">
        <v>0.03</v>
      </c>
      <c r="I36">
        <v>1.27</v>
      </c>
      <c r="J36">
        <v>1.48</v>
      </c>
      <c r="K36">
        <v>64.5</v>
      </c>
      <c r="L36">
        <v>43.3</v>
      </c>
      <c r="M36">
        <v>8.43</v>
      </c>
      <c r="N36">
        <v>35.299999999999997</v>
      </c>
      <c r="O36">
        <v>43</v>
      </c>
      <c r="P36">
        <v>11.4</v>
      </c>
      <c r="Q36">
        <v>44.3</v>
      </c>
      <c r="R36">
        <v>49.3</v>
      </c>
      <c r="S36">
        <v>16.5</v>
      </c>
      <c r="T36">
        <v>10.1</v>
      </c>
      <c r="U36">
        <v>12.3</v>
      </c>
      <c r="V36">
        <v>36.5</v>
      </c>
      <c r="W36">
        <v>11.2</v>
      </c>
      <c r="X36">
        <v>38.4</v>
      </c>
      <c r="Y36">
        <v>4.8499999999999996</v>
      </c>
      <c r="Z36">
        <v>33.1</v>
      </c>
      <c r="AA36">
        <v>23.6</v>
      </c>
      <c r="AB36">
        <v>20.100000000000001</v>
      </c>
      <c r="AC36">
        <v>6.12</v>
      </c>
      <c r="AD36">
        <v>15.4</v>
      </c>
      <c r="AE36">
        <v>56.4</v>
      </c>
      <c r="AF36">
        <v>22</v>
      </c>
      <c r="AG36">
        <v>23</v>
      </c>
      <c r="AH36">
        <v>5.0199999999999996</v>
      </c>
      <c r="AI36">
        <v>12.3</v>
      </c>
      <c r="AJ36">
        <v>62.7</v>
      </c>
      <c r="AK36">
        <v>12.4</v>
      </c>
      <c r="AL36">
        <v>12.3</v>
      </c>
      <c r="AM36">
        <v>37.5</v>
      </c>
      <c r="AN36">
        <v>0.44</v>
      </c>
      <c r="AO36">
        <v>1.92</v>
      </c>
      <c r="AP36">
        <v>3.39</v>
      </c>
      <c r="AQ36">
        <v>4.07</v>
      </c>
      <c r="AR36">
        <v>90.1</v>
      </c>
      <c r="AS36">
        <v>7.51</v>
      </c>
      <c r="AT36">
        <v>2.29</v>
      </c>
      <c r="AU36">
        <v>88.1</v>
      </c>
      <c r="AV36">
        <v>5.36</v>
      </c>
      <c r="AW36">
        <v>38</v>
      </c>
      <c r="AX36">
        <v>7.61</v>
      </c>
      <c r="AY36">
        <v>52</v>
      </c>
      <c r="AZ36">
        <v>1.83</v>
      </c>
      <c r="BA36">
        <v>7.09</v>
      </c>
      <c r="BB36">
        <v>70.8</v>
      </c>
      <c r="BC36">
        <v>92.9</v>
      </c>
      <c r="BD36">
        <v>0.32</v>
      </c>
      <c r="BE36">
        <v>4.38</v>
      </c>
      <c r="BF36">
        <v>12.9</v>
      </c>
      <c r="BG36">
        <v>35.200000000000003</v>
      </c>
      <c r="BH36">
        <v>209</v>
      </c>
      <c r="BI36">
        <v>331</v>
      </c>
      <c r="BJ36">
        <v>180</v>
      </c>
      <c r="BK36">
        <v>143</v>
      </c>
      <c r="BL36">
        <v>13.1</v>
      </c>
      <c r="BM36">
        <v>-11.3</v>
      </c>
    </row>
    <row r="37" spans="1:65" x14ac:dyDescent="0.2">
      <c r="A37" t="s">
        <v>412</v>
      </c>
      <c r="B37">
        <v>12.4</v>
      </c>
      <c r="C37">
        <v>3.63</v>
      </c>
      <c r="D37" s="6">
        <v>9.92E-3</v>
      </c>
      <c r="E37">
        <v>47.3</v>
      </c>
      <c r="F37">
        <v>49.1</v>
      </c>
      <c r="G37">
        <v>63.7</v>
      </c>
      <c r="H37">
        <v>0.01</v>
      </c>
      <c r="I37">
        <v>1.4</v>
      </c>
      <c r="J37">
        <v>8.15</v>
      </c>
      <c r="K37">
        <v>54.4</v>
      </c>
      <c r="L37">
        <v>25.7</v>
      </c>
      <c r="M37">
        <v>7.06</v>
      </c>
      <c r="N37">
        <v>44.9</v>
      </c>
      <c r="O37">
        <v>30.8</v>
      </c>
      <c r="P37">
        <v>14.4</v>
      </c>
      <c r="Q37">
        <v>40.4</v>
      </c>
      <c r="R37">
        <v>53.6</v>
      </c>
      <c r="S37">
        <v>5.92</v>
      </c>
      <c r="T37">
        <v>21.9</v>
      </c>
      <c r="U37">
        <v>9.59</v>
      </c>
      <c r="V37">
        <v>43.2</v>
      </c>
      <c r="W37">
        <v>6.86</v>
      </c>
      <c r="X37">
        <v>42.9</v>
      </c>
      <c r="Y37">
        <v>2.66</v>
      </c>
      <c r="Z37">
        <v>42.4</v>
      </c>
      <c r="AA37">
        <v>12</v>
      </c>
      <c r="AB37">
        <v>27.8</v>
      </c>
      <c r="AC37">
        <v>3.91</v>
      </c>
      <c r="AD37">
        <v>24.3</v>
      </c>
      <c r="AE37">
        <v>26.8</v>
      </c>
      <c r="AF37">
        <v>45</v>
      </c>
      <c r="AG37">
        <v>19.3</v>
      </c>
      <c r="AH37">
        <v>6.83</v>
      </c>
      <c r="AI37">
        <v>23.3</v>
      </c>
      <c r="AJ37">
        <v>53.2</v>
      </c>
      <c r="AK37">
        <v>12</v>
      </c>
      <c r="AL37">
        <v>29.2</v>
      </c>
      <c r="AM37">
        <v>34</v>
      </c>
      <c r="AN37">
        <v>1.4</v>
      </c>
      <c r="AO37">
        <v>2.15</v>
      </c>
      <c r="AP37">
        <v>2.17</v>
      </c>
      <c r="AQ37">
        <v>2.44</v>
      </c>
      <c r="AR37">
        <v>76.3</v>
      </c>
      <c r="AS37">
        <v>20.8</v>
      </c>
      <c r="AT37">
        <v>2.68</v>
      </c>
      <c r="AU37">
        <v>91.1</v>
      </c>
      <c r="AV37">
        <v>6</v>
      </c>
      <c r="AW37">
        <v>27.7</v>
      </c>
      <c r="AX37">
        <v>1.7</v>
      </c>
      <c r="AY37">
        <v>64.599999999999994</v>
      </c>
      <c r="AZ37">
        <v>0.28999999999999998</v>
      </c>
      <c r="BA37">
        <v>3.64</v>
      </c>
      <c r="BB37">
        <v>74.7</v>
      </c>
      <c r="BC37">
        <v>77.7</v>
      </c>
      <c r="BD37">
        <v>0.18</v>
      </c>
      <c r="BE37">
        <v>2.68</v>
      </c>
      <c r="BF37">
        <v>40.5</v>
      </c>
      <c r="BG37">
        <v>-36.9</v>
      </c>
      <c r="BH37">
        <v>384</v>
      </c>
      <c r="BI37">
        <v>328</v>
      </c>
      <c r="BJ37">
        <v>314</v>
      </c>
      <c r="BK37">
        <v>1082</v>
      </c>
      <c r="BL37">
        <v>131</v>
      </c>
      <c r="BM37">
        <v>7.1</v>
      </c>
    </row>
    <row r="38" spans="1:65" x14ac:dyDescent="0.2">
      <c r="A38" t="s">
        <v>481</v>
      </c>
      <c r="B38">
        <v>7.87</v>
      </c>
      <c r="C38">
        <v>1.28</v>
      </c>
      <c r="D38">
        <v>0.27</v>
      </c>
      <c r="E38">
        <v>33.6</v>
      </c>
      <c r="F38">
        <v>64.8</v>
      </c>
      <c r="G38">
        <v>88.2</v>
      </c>
      <c r="H38" s="6">
        <v>5.3800000000000002E-3</v>
      </c>
      <c r="I38">
        <v>0.23</v>
      </c>
      <c r="J38">
        <v>2.36</v>
      </c>
      <c r="K38">
        <v>85.6</v>
      </c>
      <c r="L38">
        <v>30.5</v>
      </c>
      <c r="M38">
        <v>6.77</v>
      </c>
      <c r="N38">
        <v>32.799999999999997</v>
      </c>
      <c r="O38">
        <v>24.7</v>
      </c>
      <c r="P38">
        <v>33.9</v>
      </c>
      <c r="Q38">
        <v>51.2</v>
      </c>
      <c r="R38">
        <v>51.3</v>
      </c>
      <c r="S38">
        <v>5.74</v>
      </c>
      <c r="T38">
        <v>30.9</v>
      </c>
      <c r="U38">
        <v>7.48</v>
      </c>
      <c r="V38">
        <v>10.9</v>
      </c>
      <c r="W38">
        <v>8.39</v>
      </c>
      <c r="X38">
        <v>31.6</v>
      </c>
      <c r="Y38">
        <v>12.8</v>
      </c>
      <c r="Z38">
        <v>32.200000000000003</v>
      </c>
      <c r="AA38">
        <v>23.5</v>
      </c>
      <c r="AB38">
        <v>53.6</v>
      </c>
      <c r="AC38">
        <v>1.74</v>
      </c>
      <c r="AD38">
        <v>16.899999999999999</v>
      </c>
      <c r="AE38">
        <v>75.2</v>
      </c>
      <c r="AF38">
        <v>6.12</v>
      </c>
      <c r="AG38">
        <v>2.89</v>
      </c>
      <c r="AH38">
        <v>9.51</v>
      </c>
      <c r="AI38">
        <v>13.1</v>
      </c>
      <c r="AJ38">
        <v>70.599999999999994</v>
      </c>
      <c r="AK38">
        <v>1.65</v>
      </c>
      <c r="AL38">
        <v>8.9700000000000006</v>
      </c>
      <c r="AM38">
        <v>52.5</v>
      </c>
      <c r="AN38">
        <v>5.9</v>
      </c>
      <c r="AO38">
        <v>1.5</v>
      </c>
      <c r="AP38">
        <v>32</v>
      </c>
      <c r="AQ38">
        <v>13.2</v>
      </c>
      <c r="AR38">
        <v>95.9</v>
      </c>
      <c r="AS38">
        <v>2.27</v>
      </c>
      <c r="AT38">
        <v>1.64</v>
      </c>
      <c r="AU38">
        <v>65.8</v>
      </c>
      <c r="AV38">
        <v>1.38</v>
      </c>
      <c r="AW38">
        <v>33.299999999999997</v>
      </c>
      <c r="AX38">
        <v>3.05</v>
      </c>
      <c r="AY38">
        <v>62.1</v>
      </c>
      <c r="AZ38">
        <v>6.16</v>
      </c>
      <c r="BA38">
        <v>7.32</v>
      </c>
      <c r="BB38">
        <v>81</v>
      </c>
      <c r="BC38">
        <v>68.3</v>
      </c>
      <c r="BD38">
        <v>1.1499999999999999</v>
      </c>
      <c r="BE38">
        <v>3.13</v>
      </c>
      <c r="BF38">
        <v>52.4</v>
      </c>
      <c r="BG38">
        <v>150</v>
      </c>
      <c r="BH38">
        <v>562</v>
      </c>
      <c r="BI38">
        <v>405</v>
      </c>
      <c r="BJ38">
        <v>205</v>
      </c>
      <c r="BK38">
        <v>96.3</v>
      </c>
      <c r="BL38">
        <v>0.43</v>
      </c>
      <c r="BM38">
        <v>47.4</v>
      </c>
    </row>
    <row r="39" spans="1:65" x14ac:dyDescent="0.2">
      <c r="A39" t="s">
        <v>480</v>
      </c>
      <c r="B39">
        <v>6.91</v>
      </c>
      <c r="C39">
        <v>8.4</v>
      </c>
      <c r="D39">
        <v>2.1</v>
      </c>
      <c r="E39">
        <v>11.4</v>
      </c>
      <c r="F39">
        <v>78</v>
      </c>
      <c r="G39">
        <v>88.9</v>
      </c>
      <c r="H39" s="6">
        <v>4.3699999999999998E-3</v>
      </c>
      <c r="I39">
        <v>9.2999999999999999E-2</v>
      </c>
      <c r="J39">
        <v>13.8</v>
      </c>
      <c r="K39">
        <v>75</v>
      </c>
      <c r="L39">
        <v>31.1</v>
      </c>
      <c r="M39">
        <v>7.04</v>
      </c>
      <c r="N39">
        <v>45.4</v>
      </c>
      <c r="O39">
        <v>22.4</v>
      </c>
      <c r="P39">
        <v>22.2</v>
      </c>
      <c r="Q39">
        <v>41.7</v>
      </c>
      <c r="R39">
        <v>71.5</v>
      </c>
      <c r="S39">
        <v>1.52</v>
      </c>
      <c r="T39">
        <v>35.5</v>
      </c>
      <c r="U39">
        <v>15.7</v>
      </c>
      <c r="V39">
        <v>35.5</v>
      </c>
      <c r="W39">
        <v>4.4400000000000004</v>
      </c>
      <c r="X39">
        <v>56.9</v>
      </c>
      <c r="Y39">
        <v>2.08</v>
      </c>
      <c r="Z39">
        <v>26.1</v>
      </c>
      <c r="AA39">
        <v>14.9</v>
      </c>
      <c r="AB39">
        <v>42.6</v>
      </c>
      <c r="AC39">
        <v>1.39</v>
      </c>
      <c r="AD39">
        <v>4.42</v>
      </c>
      <c r="AE39">
        <v>52.4</v>
      </c>
      <c r="AF39">
        <v>41.7</v>
      </c>
      <c r="AG39">
        <v>1.68</v>
      </c>
      <c r="AH39">
        <v>21.6</v>
      </c>
      <c r="AI39">
        <v>31.8</v>
      </c>
      <c r="AJ39">
        <v>25.8</v>
      </c>
      <c r="AK39">
        <v>3.22</v>
      </c>
      <c r="AL39">
        <v>16.7</v>
      </c>
      <c r="AM39">
        <v>61.7</v>
      </c>
      <c r="AN39">
        <v>4.97</v>
      </c>
      <c r="AO39">
        <v>13.2</v>
      </c>
      <c r="AP39">
        <v>72.7</v>
      </c>
      <c r="AQ39">
        <v>18.7</v>
      </c>
      <c r="AR39">
        <v>77</v>
      </c>
      <c r="AS39">
        <v>2.2000000000000002</v>
      </c>
      <c r="AT39">
        <v>20</v>
      </c>
      <c r="AU39">
        <v>10.6</v>
      </c>
      <c r="AV39">
        <v>0</v>
      </c>
      <c r="AW39">
        <v>6.13</v>
      </c>
      <c r="AX39">
        <v>3.78</v>
      </c>
      <c r="AY39">
        <v>88.2</v>
      </c>
      <c r="AZ39">
        <v>1.57</v>
      </c>
      <c r="BA39">
        <v>31.8</v>
      </c>
      <c r="BB39">
        <v>80.900000000000006</v>
      </c>
      <c r="BC39">
        <v>87.2</v>
      </c>
      <c r="BD39">
        <v>0.98</v>
      </c>
      <c r="BE39">
        <v>6.82</v>
      </c>
      <c r="BF39">
        <v>51.9</v>
      </c>
      <c r="BG39">
        <v>271</v>
      </c>
      <c r="BH39">
        <v>919</v>
      </c>
      <c r="BI39">
        <v>581</v>
      </c>
      <c r="BJ39">
        <v>723</v>
      </c>
      <c r="BK39">
        <v>731</v>
      </c>
      <c r="BL39">
        <v>134</v>
      </c>
      <c r="BM39">
        <v>34.200000000000003</v>
      </c>
    </row>
    <row r="40" spans="1:65" x14ac:dyDescent="0.2">
      <c r="A40" t="s">
        <v>469</v>
      </c>
      <c r="B40">
        <v>11.9</v>
      </c>
      <c r="C40">
        <v>4.05</v>
      </c>
      <c r="D40">
        <v>8.3000000000000004E-2</v>
      </c>
      <c r="E40">
        <v>29.3</v>
      </c>
      <c r="F40">
        <v>66.5</v>
      </c>
      <c r="G40">
        <v>78.099999999999994</v>
      </c>
      <c r="H40" s="6">
        <v>5.6899999999999997E-3</v>
      </c>
      <c r="I40">
        <v>0.57999999999999996</v>
      </c>
      <c r="J40">
        <v>2.96</v>
      </c>
      <c r="K40">
        <v>74.7</v>
      </c>
      <c r="L40">
        <v>54.2</v>
      </c>
      <c r="M40">
        <v>6.33</v>
      </c>
      <c r="N40">
        <v>37.1</v>
      </c>
      <c r="O40">
        <v>39.200000000000003</v>
      </c>
      <c r="P40">
        <v>14.6</v>
      </c>
      <c r="Q40">
        <v>47.6</v>
      </c>
      <c r="R40">
        <v>48.1</v>
      </c>
      <c r="S40">
        <v>9</v>
      </c>
      <c r="T40">
        <v>11.4</v>
      </c>
      <c r="U40">
        <v>8.86</v>
      </c>
      <c r="V40">
        <v>35.299999999999997</v>
      </c>
      <c r="W40">
        <v>7.68</v>
      </c>
      <c r="X40">
        <v>29</v>
      </c>
      <c r="Y40">
        <v>2.94</v>
      </c>
      <c r="Z40">
        <v>62.1</v>
      </c>
      <c r="AA40">
        <v>5.93</v>
      </c>
      <c r="AB40">
        <v>19.600000000000001</v>
      </c>
      <c r="AC40">
        <v>10.3</v>
      </c>
      <c r="AD40">
        <v>22.9</v>
      </c>
      <c r="AE40">
        <v>40.5</v>
      </c>
      <c r="AF40">
        <v>26</v>
      </c>
      <c r="AG40">
        <v>7.57</v>
      </c>
      <c r="AH40">
        <v>5.25</v>
      </c>
      <c r="AI40">
        <v>26.2</v>
      </c>
      <c r="AJ40">
        <v>52.8</v>
      </c>
      <c r="AK40">
        <v>8.92</v>
      </c>
      <c r="AL40">
        <v>4.8499999999999996</v>
      </c>
      <c r="AM40">
        <v>15.2</v>
      </c>
      <c r="AN40">
        <v>0.59</v>
      </c>
      <c r="AO40">
        <v>1.44</v>
      </c>
      <c r="AP40">
        <v>3.42</v>
      </c>
      <c r="AQ40">
        <v>3.99</v>
      </c>
      <c r="AR40">
        <v>94.9</v>
      </c>
      <c r="AS40">
        <v>2.99</v>
      </c>
      <c r="AT40">
        <v>1.83</v>
      </c>
      <c r="AU40">
        <v>91.3</v>
      </c>
      <c r="AV40">
        <v>2.0699999999999998</v>
      </c>
      <c r="AW40">
        <v>56.6</v>
      </c>
      <c r="AX40">
        <v>19.7</v>
      </c>
      <c r="AY40">
        <v>21.6</v>
      </c>
      <c r="AZ40">
        <v>1.06</v>
      </c>
      <c r="BA40">
        <v>2.4500000000000002</v>
      </c>
      <c r="BB40">
        <v>29.9</v>
      </c>
      <c r="BC40">
        <v>56.1</v>
      </c>
      <c r="BD40">
        <v>0.25</v>
      </c>
      <c r="BE40">
        <v>1.59</v>
      </c>
      <c r="BF40">
        <v>23.6</v>
      </c>
      <c r="BG40">
        <v>74.900000000000006</v>
      </c>
      <c r="BH40">
        <v>382</v>
      </c>
      <c r="BI40">
        <v>456</v>
      </c>
      <c r="BJ40">
        <v>234</v>
      </c>
      <c r="BK40">
        <v>410</v>
      </c>
      <c r="BL40">
        <v>243</v>
      </c>
      <c r="BM40">
        <v>94.7</v>
      </c>
    </row>
    <row r="41" spans="1:65" x14ac:dyDescent="0.2">
      <c r="A41" t="s">
        <v>492</v>
      </c>
      <c r="B41">
        <v>0.95</v>
      </c>
      <c r="C41">
        <v>32.799999999999997</v>
      </c>
      <c r="D41">
        <v>0.43</v>
      </c>
      <c r="E41">
        <v>34</v>
      </c>
      <c r="F41">
        <v>32.700000000000003</v>
      </c>
      <c r="G41">
        <v>77.400000000000006</v>
      </c>
      <c r="H41" s="6">
        <v>7.7299999999999999E-3</v>
      </c>
      <c r="I41">
        <v>0.25</v>
      </c>
      <c r="J41">
        <v>1.31</v>
      </c>
      <c r="K41">
        <v>75.900000000000006</v>
      </c>
      <c r="L41">
        <v>44.4</v>
      </c>
      <c r="M41">
        <v>14.8</v>
      </c>
      <c r="N41">
        <v>57.1</v>
      </c>
      <c r="O41">
        <v>18.399999999999999</v>
      </c>
      <c r="P41">
        <v>6.4</v>
      </c>
      <c r="Q41">
        <v>17.3</v>
      </c>
      <c r="R41">
        <v>38.6</v>
      </c>
      <c r="S41">
        <v>14.5</v>
      </c>
      <c r="T41">
        <v>34</v>
      </c>
      <c r="U41">
        <v>21</v>
      </c>
      <c r="V41">
        <v>59.5</v>
      </c>
      <c r="W41">
        <v>8.68</v>
      </c>
      <c r="X41">
        <v>34</v>
      </c>
      <c r="Y41">
        <v>6.67</v>
      </c>
      <c r="Z41">
        <v>42.1</v>
      </c>
      <c r="AA41">
        <v>17.2</v>
      </c>
      <c r="AB41">
        <v>27.9</v>
      </c>
      <c r="AC41">
        <v>4.01</v>
      </c>
      <c r="AD41">
        <v>5.6</v>
      </c>
      <c r="AE41">
        <v>12.7</v>
      </c>
      <c r="AF41">
        <v>77.7</v>
      </c>
      <c r="AG41">
        <v>12.3</v>
      </c>
      <c r="AH41">
        <v>4.63</v>
      </c>
      <c r="AI41">
        <v>11</v>
      </c>
      <c r="AJ41">
        <v>79.5</v>
      </c>
      <c r="AK41">
        <v>2.25</v>
      </c>
      <c r="AL41">
        <v>2.84</v>
      </c>
      <c r="AM41">
        <v>32.9</v>
      </c>
      <c r="AN41">
        <v>0.36</v>
      </c>
      <c r="AO41">
        <v>2.4</v>
      </c>
      <c r="AP41">
        <v>11.4</v>
      </c>
      <c r="AQ41">
        <v>27.6</v>
      </c>
      <c r="AR41">
        <v>87.5</v>
      </c>
      <c r="AS41">
        <v>9.94</v>
      </c>
      <c r="AT41">
        <v>2.36</v>
      </c>
      <c r="AU41">
        <v>59.5</v>
      </c>
      <c r="AV41">
        <v>4.33</v>
      </c>
      <c r="AW41">
        <v>47.7</v>
      </c>
      <c r="AX41">
        <v>4.43</v>
      </c>
      <c r="AY41">
        <v>36.700000000000003</v>
      </c>
      <c r="AZ41">
        <v>0.27</v>
      </c>
      <c r="BA41">
        <v>6.44</v>
      </c>
      <c r="BB41">
        <v>36.9</v>
      </c>
      <c r="BC41">
        <v>60.8</v>
      </c>
      <c r="BD41">
        <v>0.16</v>
      </c>
      <c r="BE41">
        <v>3.55</v>
      </c>
      <c r="BF41">
        <v>20.2</v>
      </c>
      <c r="BG41">
        <v>68.099999999999994</v>
      </c>
      <c r="BH41">
        <v>546</v>
      </c>
      <c r="BI41">
        <v>792</v>
      </c>
      <c r="BJ41">
        <v>482</v>
      </c>
      <c r="BK41">
        <v>807</v>
      </c>
      <c r="BL41">
        <v>219</v>
      </c>
      <c r="BM41">
        <v>29.9</v>
      </c>
    </row>
    <row r="42" spans="1:65" x14ac:dyDescent="0.2">
      <c r="A42" s="4" t="s">
        <v>437</v>
      </c>
      <c r="B42" s="4">
        <v>27.4</v>
      </c>
      <c r="C42" s="4">
        <v>5.3</v>
      </c>
      <c r="D42" s="4">
        <v>0.16</v>
      </c>
      <c r="E42" s="4">
        <v>44.8</v>
      </c>
      <c r="F42" s="4">
        <v>49.8</v>
      </c>
      <c r="G42" s="4">
        <v>50.1</v>
      </c>
      <c r="H42" s="4">
        <v>0.76</v>
      </c>
      <c r="I42" s="4">
        <v>0.35</v>
      </c>
      <c r="J42" s="4">
        <v>3.18</v>
      </c>
      <c r="K42" s="4">
        <v>44.4</v>
      </c>
      <c r="L42" s="4">
        <v>24.2</v>
      </c>
      <c r="M42" s="4">
        <v>5.4</v>
      </c>
      <c r="N42" s="4">
        <v>53.6</v>
      </c>
      <c r="O42" s="4">
        <v>31.4</v>
      </c>
      <c r="P42" s="4">
        <v>7.09</v>
      </c>
      <c r="Q42" s="4">
        <v>31.5</v>
      </c>
      <c r="R42" s="4">
        <v>38.4</v>
      </c>
      <c r="S42" s="4">
        <v>5.44</v>
      </c>
      <c r="T42" s="4">
        <v>39.6</v>
      </c>
      <c r="U42" s="4">
        <v>16.600000000000001</v>
      </c>
      <c r="V42" s="4">
        <v>51.9</v>
      </c>
      <c r="W42" s="4">
        <v>7.49</v>
      </c>
      <c r="X42" s="4">
        <v>34.700000000000003</v>
      </c>
      <c r="Y42" s="4">
        <v>5.29</v>
      </c>
      <c r="Z42" s="4">
        <v>47</v>
      </c>
      <c r="AA42" s="4">
        <v>13</v>
      </c>
      <c r="AB42" s="4">
        <v>19</v>
      </c>
      <c r="AC42" s="4">
        <v>5.17</v>
      </c>
      <c r="AD42" s="4">
        <v>6.9</v>
      </c>
      <c r="AE42" s="4">
        <v>62.7</v>
      </c>
      <c r="AF42" s="4">
        <v>25.2</v>
      </c>
      <c r="AG42" s="4">
        <v>18.2</v>
      </c>
      <c r="AH42" s="4">
        <v>6.5</v>
      </c>
      <c r="AI42" s="4">
        <v>5.89</v>
      </c>
      <c r="AJ42" s="4">
        <v>78.099999999999994</v>
      </c>
      <c r="AK42" s="4">
        <v>4.72</v>
      </c>
      <c r="AL42" s="4">
        <v>4.7699999999999996</v>
      </c>
      <c r="AM42" s="4">
        <v>55.1</v>
      </c>
      <c r="AN42" s="4">
        <v>1.48</v>
      </c>
      <c r="AO42" s="4">
        <v>1.1200000000000001</v>
      </c>
      <c r="AP42" s="4">
        <v>12.2</v>
      </c>
      <c r="AQ42" s="4">
        <v>13.5</v>
      </c>
      <c r="AR42" s="4">
        <v>57.2</v>
      </c>
      <c r="AS42" s="4">
        <v>41.5</v>
      </c>
      <c r="AT42" s="4">
        <v>1.27</v>
      </c>
      <c r="AU42" s="4">
        <v>65.900000000000006</v>
      </c>
      <c r="AV42" s="4">
        <v>15.1</v>
      </c>
      <c r="AW42" s="4">
        <v>20.3</v>
      </c>
      <c r="AX42" s="4">
        <v>5.3</v>
      </c>
      <c r="AY42" s="4">
        <v>68.099999999999994</v>
      </c>
      <c r="AZ42" s="4">
        <v>6.82</v>
      </c>
      <c r="BA42" s="4">
        <v>7.48</v>
      </c>
      <c r="BB42" s="4">
        <v>59.1</v>
      </c>
      <c r="BC42" s="4">
        <v>81.7</v>
      </c>
      <c r="BD42" s="4">
        <v>0.82</v>
      </c>
      <c r="BE42" s="4">
        <v>3.18</v>
      </c>
      <c r="BF42" s="4">
        <v>13.8</v>
      </c>
      <c r="BG42" s="4">
        <v>-8.67</v>
      </c>
      <c r="BH42" s="4">
        <v>407</v>
      </c>
      <c r="BI42" s="4">
        <v>464</v>
      </c>
      <c r="BJ42" s="4">
        <v>167</v>
      </c>
      <c r="BK42" s="4">
        <v>450</v>
      </c>
      <c r="BL42" s="4">
        <v>185</v>
      </c>
      <c r="BM42" s="4">
        <v>51.5</v>
      </c>
    </row>
    <row r="43" spans="1:65" x14ac:dyDescent="0.2">
      <c r="A43" s="4" t="s">
        <v>514</v>
      </c>
      <c r="B43" s="4">
        <v>11.6</v>
      </c>
      <c r="C43" s="4">
        <v>1.33</v>
      </c>
      <c r="D43" s="4">
        <v>5.6000000000000001E-2</v>
      </c>
      <c r="E43" s="4">
        <v>13.5</v>
      </c>
      <c r="F43" s="4">
        <v>85.1</v>
      </c>
      <c r="G43" s="4">
        <v>66.599999999999994</v>
      </c>
      <c r="H43" s="16">
        <v>5.1000000000000004E-3</v>
      </c>
      <c r="I43" s="4">
        <v>0.3</v>
      </c>
      <c r="J43" s="4">
        <v>1.0900000000000001</v>
      </c>
      <c r="K43" s="4">
        <v>65.3</v>
      </c>
      <c r="L43" s="4">
        <v>43.1</v>
      </c>
      <c r="M43" s="4">
        <v>5.07</v>
      </c>
      <c r="N43" s="4">
        <v>53.8</v>
      </c>
      <c r="O43" s="4">
        <v>19.399999999999999</v>
      </c>
      <c r="P43" s="4">
        <v>19.399999999999999</v>
      </c>
      <c r="Q43" s="4">
        <v>36.1</v>
      </c>
      <c r="R43" s="4">
        <v>89.2</v>
      </c>
      <c r="S43" s="4">
        <v>0.64</v>
      </c>
      <c r="T43" s="4">
        <v>6.24</v>
      </c>
      <c r="U43" s="4">
        <v>3.9</v>
      </c>
      <c r="V43" s="4">
        <v>53.3</v>
      </c>
      <c r="W43" s="4">
        <v>3.7</v>
      </c>
      <c r="X43" s="4">
        <v>69.8</v>
      </c>
      <c r="Y43" s="4">
        <v>1.34</v>
      </c>
      <c r="Z43" s="4">
        <v>22.4</v>
      </c>
      <c r="AA43" s="4">
        <v>6.54</v>
      </c>
      <c r="AB43" s="4">
        <v>21.1</v>
      </c>
      <c r="AC43" s="4">
        <v>2.68</v>
      </c>
      <c r="AD43" s="4">
        <v>21.3</v>
      </c>
      <c r="AE43" s="4">
        <v>66.099999999999994</v>
      </c>
      <c r="AF43" s="4">
        <v>9.81</v>
      </c>
      <c r="AG43" s="4">
        <v>17.100000000000001</v>
      </c>
      <c r="AH43" s="4">
        <v>15.1</v>
      </c>
      <c r="AI43" s="4">
        <v>7.89</v>
      </c>
      <c r="AJ43" s="4">
        <v>72.3</v>
      </c>
      <c r="AK43" s="4">
        <v>1.34</v>
      </c>
      <c r="AL43" s="4">
        <v>2.56</v>
      </c>
      <c r="AM43" s="4">
        <v>56.6</v>
      </c>
      <c r="AN43" s="4">
        <v>0.28000000000000003</v>
      </c>
      <c r="AO43" s="4">
        <v>1.48</v>
      </c>
      <c r="AP43" s="4">
        <v>27.4</v>
      </c>
      <c r="AQ43" s="4">
        <v>16.100000000000001</v>
      </c>
      <c r="AR43" s="4">
        <v>93.9</v>
      </c>
      <c r="AS43" s="4">
        <v>4</v>
      </c>
      <c r="AT43" s="4">
        <v>1.77</v>
      </c>
      <c r="AU43" s="4">
        <v>54.5</v>
      </c>
      <c r="AV43" s="4">
        <v>3.7</v>
      </c>
      <c r="AW43" s="4">
        <v>31.7</v>
      </c>
      <c r="AX43" s="4">
        <v>3.66</v>
      </c>
      <c r="AY43" s="4">
        <v>61</v>
      </c>
      <c r="AZ43" s="4">
        <v>5.64</v>
      </c>
      <c r="BA43" s="4">
        <v>15.5</v>
      </c>
      <c r="BB43" s="4">
        <v>88.6</v>
      </c>
      <c r="BC43" s="4">
        <v>82.9</v>
      </c>
      <c r="BD43" s="4">
        <v>0.5</v>
      </c>
      <c r="BE43" s="4">
        <v>4.22</v>
      </c>
      <c r="BF43" s="4">
        <v>80.599999999999994</v>
      </c>
      <c r="BG43" s="4">
        <v>161</v>
      </c>
      <c r="BH43" s="4">
        <v>1066</v>
      </c>
      <c r="BI43" s="4">
        <v>918</v>
      </c>
      <c r="BJ43" s="4">
        <v>618</v>
      </c>
      <c r="BK43" s="4">
        <v>431</v>
      </c>
      <c r="BL43" s="4">
        <v>230</v>
      </c>
      <c r="BM43" s="4">
        <v>107</v>
      </c>
    </row>
    <row r="44" spans="1:65" x14ac:dyDescent="0.2">
      <c r="A44" s="4" t="s">
        <v>443</v>
      </c>
      <c r="B44" s="4">
        <v>12.3</v>
      </c>
      <c r="C44" s="4">
        <v>5.81</v>
      </c>
      <c r="D44" s="4">
        <v>0.27</v>
      </c>
      <c r="E44" s="4">
        <v>38</v>
      </c>
      <c r="F44" s="4">
        <v>55.9</v>
      </c>
      <c r="G44" s="4">
        <v>48.7</v>
      </c>
      <c r="H44" s="4">
        <v>0.64</v>
      </c>
      <c r="I44" s="4">
        <v>0.4</v>
      </c>
      <c r="J44" s="4">
        <v>2.72</v>
      </c>
      <c r="K44" s="4">
        <v>44</v>
      </c>
      <c r="L44" s="4">
        <v>22.5</v>
      </c>
      <c r="M44" s="4">
        <v>9.7899999999999991</v>
      </c>
      <c r="N44" s="4">
        <v>14.1</v>
      </c>
      <c r="O44" s="4">
        <v>53.1</v>
      </c>
      <c r="P44" s="4">
        <v>22.1</v>
      </c>
      <c r="Q44" s="4">
        <v>61.2</v>
      </c>
      <c r="R44" s="4">
        <v>46.4</v>
      </c>
      <c r="S44" s="4">
        <v>5.99</v>
      </c>
      <c r="T44" s="4">
        <v>43.2</v>
      </c>
      <c r="U44" s="4">
        <v>4.42</v>
      </c>
      <c r="V44" s="4">
        <v>13.5</v>
      </c>
      <c r="W44" s="4">
        <v>14.3</v>
      </c>
      <c r="X44" s="4">
        <v>28.5</v>
      </c>
      <c r="Y44" s="4">
        <v>5.9</v>
      </c>
      <c r="Z44" s="4">
        <v>57.7</v>
      </c>
      <c r="AA44" s="4">
        <v>7.9</v>
      </c>
      <c r="AB44" s="4">
        <v>19.3</v>
      </c>
      <c r="AC44" s="4">
        <v>31.6</v>
      </c>
      <c r="AD44" s="4">
        <v>35.5</v>
      </c>
      <c r="AE44" s="4">
        <v>25.1</v>
      </c>
      <c r="AF44" s="4">
        <v>7.7</v>
      </c>
      <c r="AG44" s="4">
        <v>38</v>
      </c>
      <c r="AH44" s="4">
        <v>5.55</v>
      </c>
      <c r="AI44" s="4">
        <v>3.39</v>
      </c>
      <c r="AJ44" s="4">
        <v>49</v>
      </c>
      <c r="AK44" s="4">
        <v>39.200000000000003</v>
      </c>
      <c r="AL44" s="4">
        <v>6.05</v>
      </c>
      <c r="AM44" s="4">
        <v>29.8</v>
      </c>
      <c r="AN44" s="4">
        <v>1.21</v>
      </c>
      <c r="AO44" s="4">
        <v>0.37</v>
      </c>
      <c r="AP44" s="4">
        <v>2.86</v>
      </c>
      <c r="AQ44" s="4">
        <v>0.56999999999999995</v>
      </c>
      <c r="AR44" s="4">
        <v>62.6</v>
      </c>
      <c r="AS44" s="4">
        <v>36.700000000000003</v>
      </c>
      <c r="AT44" s="4">
        <v>0.61</v>
      </c>
      <c r="AU44" s="4">
        <v>72.7</v>
      </c>
      <c r="AV44" s="4">
        <v>25.8</v>
      </c>
      <c r="AW44" s="4">
        <v>44.6</v>
      </c>
      <c r="AX44" s="4">
        <v>11</v>
      </c>
      <c r="AY44" s="4">
        <v>38.299999999999997</v>
      </c>
      <c r="AZ44" s="4">
        <v>9.02</v>
      </c>
      <c r="BA44" s="4">
        <v>6.98</v>
      </c>
      <c r="BB44" s="4">
        <v>54.2</v>
      </c>
      <c r="BC44" s="4">
        <v>80.099999999999994</v>
      </c>
      <c r="BD44" s="4">
        <v>1.02</v>
      </c>
      <c r="BE44" s="4">
        <v>3.46</v>
      </c>
      <c r="BF44" s="4">
        <v>20.6</v>
      </c>
      <c r="BG44" s="4">
        <v>-5.1100000000000003</v>
      </c>
      <c r="BH44" s="4">
        <v>537</v>
      </c>
      <c r="BI44" s="4">
        <v>645</v>
      </c>
      <c r="BJ44" s="4">
        <v>161</v>
      </c>
      <c r="BK44" s="4">
        <v>271</v>
      </c>
      <c r="BL44" s="4">
        <v>134</v>
      </c>
      <c r="BM44" s="4">
        <v>140</v>
      </c>
    </row>
    <row r="45" spans="1:65" x14ac:dyDescent="0.2">
      <c r="A45" s="18" t="s">
        <v>466</v>
      </c>
      <c r="B45" s="18">
        <v>29.6</v>
      </c>
      <c r="C45" s="18">
        <v>2.69</v>
      </c>
      <c r="D45" s="18">
        <v>0.49</v>
      </c>
      <c r="E45" s="18">
        <v>25.6</v>
      </c>
      <c r="F45" s="18">
        <v>71.2</v>
      </c>
      <c r="G45" s="18">
        <v>59.3</v>
      </c>
      <c r="H45" s="18">
        <v>5.1999999999999998E-2</v>
      </c>
      <c r="I45" s="18">
        <v>0.26</v>
      </c>
      <c r="J45" s="18">
        <v>1.22</v>
      </c>
      <c r="K45" s="18">
        <v>56.2</v>
      </c>
      <c r="L45" s="18">
        <v>26.9</v>
      </c>
      <c r="M45" s="18">
        <v>21.6</v>
      </c>
      <c r="N45" s="18">
        <v>71</v>
      </c>
      <c r="O45" s="18">
        <v>2.42</v>
      </c>
      <c r="P45" s="18">
        <v>2.33</v>
      </c>
      <c r="Q45" s="18">
        <v>6.13</v>
      </c>
      <c r="R45" s="18">
        <v>74.5</v>
      </c>
      <c r="S45" s="18">
        <v>0.65</v>
      </c>
      <c r="T45" s="18">
        <v>25.9</v>
      </c>
      <c r="U45" s="18">
        <v>2.82</v>
      </c>
      <c r="V45" s="18">
        <v>35.9</v>
      </c>
      <c r="W45" s="18">
        <v>3.1E-2</v>
      </c>
      <c r="X45" s="18">
        <v>57.1</v>
      </c>
      <c r="Y45" s="18">
        <v>0</v>
      </c>
      <c r="Z45" s="18">
        <v>42.9</v>
      </c>
      <c r="AA45" s="18">
        <v>0</v>
      </c>
      <c r="AB45" s="18">
        <v>27.2</v>
      </c>
      <c r="AC45" s="18">
        <v>0.28999999999999998</v>
      </c>
      <c r="AD45" s="18">
        <v>2.2400000000000002</v>
      </c>
      <c r="AE45" s="18">
        <v>77.7</v>
      </c>
      <c r="AF45" s="18">
        <v>19.7</v>
      </c>
      <c r="AG45" s="18">
        <v>5.24</v>
      </c>
      <c r="AH45" s="18">
        <v>39.700000000000003</v>
      </c>
      <c r="AI45" s="18">
        <v>35.9</v>
      </c>
      <c r="AJ45" s="18">
        <v>16.600000000000001</v>
      </c>
      <c r="AK45" s="18">
        <v>2.34</v>
      </c>
      <c r="AL45" s="18">
        <v>37.799999999999997</v>
      </c>
      <c r="AM45" s="18">
        <v>52.4</v>
      </c>
      <c r="AN45" s="18">
        <v>5.48</v>
      </c>
      <c r="AO45" s="18">
        <v>27.4</v>
      </c>
      <c r="AP45" s="18">
        <v>3.88</v>
      </c>
      <c r="AQ45" s="18">
        <v>26.2</v>
      </c>
      <c r="AR45" s="18">
        <v>58.5</v>
      </c>
      <c r="AS45" s="18">
        <v>9.0399999999999991</v>
      </c>
      <c r="AT45" s="18">
        <v>31.9</v>
      </c>
      <c r="AU45" s="18">
        <v>64.099999999999994</v>
      </c>
      <c r="AV45" s="18">
        <v>5.83</v>
      </c>
      <c r="AW45" s="18">
        <v>1.01</v>
      </c>
      <c r="AX45" s="18">
        <v>2.0299999999999998</v>
      </c>
      <c r="AY45" s="18">
        <v>95.4</v>
      </c>
      <c r="AZ45" s="18">
        <v>5.45</v>
      </c>
      <c r="BA45" s="18">
        <v>12.1</v>
      </c>
      <c r="BB45" s="18">
        <v>42.9</v>
      </c>
      <c r="BC45" s="18">
        <v>71.599999999999994</v>
      </c>
      <c r="BD45" s="18">
        <v>2.29</v>
      </c>
      <c r="BE45" s="18">
        <v>6.06</v>
      </c>
      <c r="BF45" s="18">
        <v>14.9</v>
      </c>
      <c r="BG45" s="18">
        <v>519</v>
      </c>
      <c r="BH45" s="18">
        <v>1815</v>
      </c>
      <c r="BI45" s="18">
        <v>1120</v>
      </c>
      <c r="BJ45" s="18">
        <v>961</v>
      </c>
      <c r="BK45" s="18">
        <v>2806</v>
      </c>
      <c r="BL45" s="18">
        <v>571</v>
      </c>
      <c r="BM45" s="18">
        <v>93.4</v>
      </c>
    </row>
    <row r="46" spans="1:65" x14ac:dyDescent="0.2">
      <c r="A46" s="7" t="s">
        <v>479</v>
      </c>
      <c r="B46" s="7">
        <v>7.62</v>
      </c>
      <c r="C46" s="7">
        <v>6.48</v>
      </c>
      <c r="D46" s="7">
        <v>0.5</v>
      </c>
      <c r="E46" s="7">
        <v>50.7</v>
      </c>
      <c r="F46" s="7">
        <v>42.3</v>
      </c>
      <c r="G46" s="7">
        <v>86</v>
      </c>
      <c r="H46" s="7">
        <v>5.3999999999999999E-2</v>
      </c>
      <c r="I46" s="7">
        <v>0.45</v>
      </c>
      <c r="J46" s="7">
        <v>1.22</v>
      </c>
      <c r="K46" s="7">
        <v>84.3</v>
      </c>
      <c r="L46" s="7">
        <v>57.3</v>
      </c>
      <c r="M46" s="7">
        <v>12.5</v>
      </c>
      <c r="N46" s="7">
        <v>74.2</v>
      </c>
      <c r="O46" s="7">
        <v>8.8000000000000007</v>
      </c>
      <c r="P46" s="7">
        <v>4.21</v>
      </c>
      <c r="Q46" s="7">
        <v>10.8</v>
      </c>
      <c r="R46" s="7">
        <v>78.900000000000006</v>
      </c>
      <c r="S46" s="7">
        <v>1.17</v>
      </c>
      <c r="T46" s="7">
        <v>22</v>
      </c>
      <c r="U46" s="7">
        <v>6.82</v>
      </c>
      <c r="V46" s="7">
        <v>74</v>
      </c>
      <c r="W46" s="7">
        <v>1.93</v>
      </c>
      <c r="X46" s="7">
        <v>63.1</v>
      </c>
      <c r="Y46" s="7">
        <v>1.36</v>
      </c>
      <c r="Z46" s="7">
        <v>26.1</v>
      </c>
      <c r="AA46" s="7">
        <v>9.3800000000000008</v>
      </c>
      <c r="AB46" s="7">
        <v>24.6</v>
      </c>
      <c r="AC46" s="7">
        <v>1</v>
      </c>
      <c r="AD46" s="7">
        <v>10.1</v>
      </c>
      <c r="AE46" s="7">
        <v>26.9</v>
      </c>
      <c r="AF46" s="7">
        <v>62</v>
      </c>
      <c r="AG46" s="7">
        <v>1.35</v>
      </c>
      <c r="AH46" s="7">
        <v>13</v>
      </c>
      <c r="AI46" s="7">
        <v>2.2400000000000002</v>
      </c>
      <c r="AJ46" s="7">
        <v>35.9</v>
      </c>
      <c r="AK46" s="7">
        <v>47.7</v>
      </c>
      <c r="AL46" s="7">
        <v>6.52</v>
      </c>
      <c r="AM46" s="7">
        <v>45.7</v>
      </c>
      <c r="AN46" s="7">
        <v>2.0299999999999998</v>
      </c>
      <c r="AO46" s="7">
        <v>0.68</v>
      </c>
      <c r="AP46" s="7">
        <v>2.5499999999999998</v>
      </c>
      <c r="AQ46" s="7">
        <v>0.1</v>
      </c>
      <c r="AR46" s="7">
        <v>81.7</v>
      </c>
      <c r="AS46" s="7">
        <v>16.399999999999999</v>
      </c>
      <c r="AT46" s="7">
        <v>1.49</v>
      </c>
      <c r="AU46" s="7">
        <v>83.4</v>
      </c>
      <c r="AV46" s="7">
        <v>14.8</v>
      </c>
      <c r="AW46" s="7">
        <v>21.7</v>
      </c>
      <c r="AX46" s="7">
        <v>10.9</v>
      </c>
      <c r="AY46" s="7">
        <v>65.2</v>
      </c>
      <c r="AZ46" s="7">
        <v>0.8</v>
      </c>
      <c r="BA46" s="7">
        <v>18.7</v>
      </c>
      <c r="BB46" s="7">
        <v>70.599999999999994</v>
      </c>
      <c r="BC46" s="7">
        <v>71</v>
      </c>
      <c r="BD46" s="7">
        <v>0.12</v>
      </c>
      <c r="BE46" s="7">
        <v>3.21</v>
      </c>
      <c r="BF46" s="7">
        <v>10.8</v>
      </c>
      <c r="BG46" s="7">
        <v>-47</v>
      </c>
      <c r="BH46" s="7">
        <v>549</v>
      </c>
      <c r="BI46" s="7">
        <v>380</v>
      </c>
      <c r="BJ46" s="7">
        <v>404</v>
      </c>
      <c r="BK46" s="7">
        <v>874</v>
      </c>
      <c r="BL46" s="7">
        <v>479</v>
      </c>
      <c r="BM46" s="7">
        <v>-61.2</v>
      </c>
    </row>
    <row r="47" spans="1:65" x14ac:dyDescent="0.2">
      <c r="A47" s="4" t="s">
        <v>515</v>
      </c>
      <c r="B47" s="4">
        <v>5.71</v>
      </c>
      <c r="C47" s="4">
        <v>5.89</v>
      </c>
      <c r="D47" s="4">
        <v>0.62</v>
      </c>
      <c r="E47" s="4">
        <v>37.299999999999997</v>
      </c>
      <c r="F47" s="4">
        <v>55.4</v>
      </c>
      <c r="G47" s="4">
        <v>70.599999999999994</v>
      </c>
      <c r="H47" s="4">
        <v>2.8000000000000001E-2</v>
      </c>
      <c r="I47" s="4">
        <v>0.65</v>
      </c>
      <c r="J47" s="4">
        <v>1.21</v>
      </c>
      <c r="K47" s="4">
        <v>68.8</v>
      </c>
      <c r="L47" s="4">
        <v>32</v>
      </c>
      <c r="M47" s="4">
        <v>18.399999999999999</v>
      </c>
      <c r="N47" s="4">
        <v>53.6</v>
      </c>
      <c r="O47" s="4">
        <v>12.1</v>
      </c>
      <c r="P47" s="4">
        <v>7.36</v>
      </c>
      <c r="Q47" s="4">
        <v>21.2</v>
      </c>
      <c r="R47" s="4">
        <v>46.7</v>
      </c>
      <c r="S47" s="4">
        <v>10.6</v>
      </c>
      <c r="T47" s="4">
        <v>26.3</v>
      </c>
      <c r="U47" s="4">
        <v>16.399999999999999</v>
      </c>
      <c r="V47" s="4">
        <v>54.8</v>
      </c>
      <c r="W47" s="4">
        <v>3.58</v>
      </c>
      <c r="X47" s="4">
        <v>24.7</v>
      </c>
      <c r="Y47" s="4">
        <v>10.1</v>
      </c>
      <c r="Z47" s="4">
        <v>43.7</v>
      </c>
      <c r="AA47" s="4">
        <v>21.4</v>
      </c>
      <c r="AB47" s="4">
        <v>35.299999999999997</v>
      </c>
      <c r="AC47" s="4">
        <v>4.34</v>
      </c>
      <c r="AD47" s="4">
        <v>10</v>
      </c>
      <c r="AE47" s="4">
        <v>22.4</v>
      </c>
      <c r="AF47" s="4">
        <v>57.9</v>
      </c>
      <c r="AG47" s="4">
        <v>17.8</v>
      </c>
      <c r="AH47" s="4">
        <v>4.59</v>
      </c>
      <c r="AI47" s="4">
        <v>2.74</v>
      </c>
      <c r="AJ47" s="4">
        <v>77.400000000000006</v>
      </c>
      <c r="AK47" s="4">
        <v>14.6</v>
      </c>
      <c r="AL47" s="4">
        <v>33.5</v>
      </c>
      <c r="AM47" s="4">
        <v>33.1</v>
      </c>
      <c r="AN47" s="4">
        <v>0.53</v>
      </c>
      <c r="AO47" s="4">
        <v>0.67</v>
      </c>
      <c r="AP47" s="4">
        <v>0.76</v>
      </c>
      <c r="AQ47" s="4">
        <v>0.11</v>
      </c>
      <c r="AR47" s="4">
        <v>86.6</v>
      </c>
      <c r="AS47" s="4">
        <v>12.2</v>
      </c>
      <c r="AT47" s="4">
        <v>1.17</v>
      </c>
      <c r="AU47" s="4">
        <v>77.599999999999994</v>
      </c>
      <c r="AV47" s="4">
        <v>22.1</v>
      </c>
      <c r="AW47" s="4">
        <v>14.8</v>
      </c>
      <c r="AX47" s="4">
        <v>3.74</v>
      </c>
      <c r="AY47" s="4">
        <v>77.900000000000006</v>
      </c>
      <c r="AZ47" s="4">
        <v>0.96</v>
      </c>
      <c r="BA47" s="4">
        <v>46.6</v>
      </c>
      <c r="BB47" s="4">
        <v>84.7</v>
      </c>
      <c r="BC47" s="4">
        <v>75.599999999999994</v>
      </c>
      <c r="BD47" s="4">
        <v>1.35</v>
      </c>
      <c r="BE47" s="4">
        <v>13</v>
      </c>
      <c r="BF47" s="4">
        <v>42.7</v>
      </c>
      <c r="BG47" s="4">
        <v>91.2</v>
      </c>
      <c r="BH47" s="4">
        <v>847</v>
      </c>
      <c r="BI47" s="4">
        <v>747</v>
      </c>
      <c r="BJ47" s="4">
        <v>908</v>
      </c>
      <c r="BK47" s="4">
        <v>1101</v>
      </c>
      <c r="BL47" s="4">
        <v>487</v>
      </c>
      <c r="BM47" s="4">
        <v>54.7</v>
      </c>
    </row>
    <row r="48" spans="1:65" x14ac:dyDescent="0.2">
      <c r="A48" s="4" t="s">
        <v>346</v>
      </c>
      <c r="B48" s="4">
        <v>4.46</v>
      </c>
      <c r="C48" s="4">
        <v>5.0999999999999996</v>
      </c>
      <c r="D48" s="4">
        <v>1.33</v>
      </c>
      <c r="E48" s="4">
        <v>46.1</v>
      </c>
      <c r="F48" s="4">
        <v>47.3</v>
      </c>
      <c r="G48" s="4">
        <v>85.6</v>
      </c>
      <c r="H48" s="4">
        <v>2.8000000000000001E-2</v>
      </c>
      <c r="I48" s="4">
        <v>1.37</v>
      </c>
      <c r="J48" s="4">
        <v>0.68</v>
      </c>
      <c r="K48" s="4">
        <v>83.6</v>
      </c>
      <c r="L48" s="4">
        <v>34.299999999999997</v>
      </c>
      <c r="M48" s="4">
        <v>3.38</v>
      </c>
      <c r="N48" s="4">
        <v>3.23</v>
      </c>
      <c r="O48" s="4">
        <v>17.8</v>
      </c>
      <c r="P48" s="4">
        <v>73.8</v>
      </c>
      <c r="Q48" s="4">
        <v>87.1</v>
      </c>
      <c r="R48" s="4">
        <v>52.5</v>
      </c>
      <c r="S48" s="4">
        <v>6.07</v>
      </c>
      <c r="T48" s="4">
        <v>16.7</v>
      </c>
      <c r="U48" s="4">
        <v>24.8</v>
      </c>
      <c r="V48" s="4">
        <v>2.9</v>
      </c>
      <c r="W48" s="4">
        <v>6.02</v>
      </c>
      <c r="X48" s="4">
        <v>46.8</v>
      </c>
      <c r="Y48" s="4">
        <v>6.85</v>
      </c>
      <c r="Z48" s="4">
        <v>25</v>
      </c>
      <c r="AA48" s="4">
        <v>21.3</v>
      </c>
      <c r="AB48" s="4">
        <v>48.7</v>
      </c>
      <c r="AC48" s="4">
        <v>1.4</v>
      </c>
      <c r="AD48" s="4">
        <v>28.5</v>
      </c>
      <c r="AE48" s="4">
        <v>68.099999999999994</v>
      </c>
      <c r="AF48" s="4">
        <v>1.1599999999999999</v>
      </c>
      <c r="AG48" s="4">
        <v>2.89</v>
      </c>
      <c r="AH48" s="4">
        <v>36.200000000000003</v>
      </c>
      <c r="AI48" s="4">
        <v>13.3</v>
      </c>
      <c r="AJ48" s="4">
        <v>16.100000000000001</v>
      </c>
      <c r="AK48" s="4">
        <v>28.6</v>
      </c>
      <c r="AL48" s="4">
        <v>19</v>
      </c>
      <c r="AM48" s="4">
        <v>22.4</v>
      </c>
      <c r="AN48" s="4">
        <v>6.28</v>
      </c>
      <c r="AO48" s="4">
        <v>8.01</v>
      </c>
      <c r="AP48" s="4">
        <v>0.86</v>
      </c>
      <c r="AQ48" s="4">
        <v>0.84</v>
      </c>
      <c r="AR48" s="4">
        <v>51.9</v>
      </c>
      <c r="AS48" s="4">
        <v>23.9</v>
      </c>
      <c r="AT48" s="4">
        <v>23.7</v>
      </c>
      <c r="AU48" s="4">
        <v>71.400000000000006</v>
      </c>
      <c r="AV48" s="4">
        <v>27.2</v>
      </c>
      <c r="AW48" s="4">
        <v>1.57</v>
      </c>
      <c r="AX48" s="4">
        <v>4.33</v>
      </c>
      <c r="AY48" s="4">
        <v>91</v>
      </c>
      <c r="AZ48" s="4">
        <v>10.8</v>
      </c>
      <c r="BA48" s="4">
        <v>24.8</v>
      </c>
      <c r="BB48" s="4">
        <v>76.5</v>
      </c>
      <c r="BC48" s="4">
        <v>73.900000000000006</v>
      </c>
      <c r="BD48" s="4">
        <v>3.84</v>
      </c>
      <c r="BE48" s="4">
        <v>8.2200000000000006</v>
      </c>
      <c r="BF48" s="4">
        <v>81.099999999999994</v>
      </c>
      <c r="BG48" s="4">
        <v>99</v>
      </c>
      <c r="BH48" s="4">
        <v>736</v>
      </c>
      <c r="BI48" s="4">
        <v>488</v>
      </c>
      <c r="BJ48" s="4">
        <v>339</v>
      </c>
      <c r="BK48" s="4">
        <v>259</v>
      </c>
      <c r="BL48" s="4">
        <v>150</v>
      </c>
      <c r="BM48" s="4">
        <v>-4.5199999999999996</v>
      </c>
    </row>
    <row r="49" spans="1:65" x14ac:dyDescent="0.2">
      <c r="A49" s="4" t="s">
        <v>440</v>
      </c>
      <c r="B49" s="4">
        <v>9.5399999999999991</v>
      </c>
      <c r="C49" s="4">
        <v>10.199999999999999</v>
      </c>
      <c r="D49" s="4">
        <v>0.14000000000000001</v>
      </c>
      <c r="E49" s="4">
        <v>54.2</v>
      </c>
      <c r="F49" s="4">
        <v>35.5</v>
      </c>
      <c r="G49" s="4">
        <v>83</v>
      </c>
      <c r="H49" s="4">
        <v>0.1</v>
      </c>
      <c r="I49" s="4">
        <v>3.47</v>
      </c>
      <c r="J49" s="4">
        <v>0.17</v>
      </c>
      <c r="K49" s="4">
        <v>79.5</v>
      </c>
      <c r="L49" s="4">
        <v>56</v>
      </c>
      <c r="M49" s="4">
        <v>6.39</v>
      </c>
      <c r="N49" s="4">
        <v>45.3</v>
      </c>
      <c r="O49" s="4">
        <v>43</v>
      </c>
      <c r="P49" s="4">
        <v>3.52</v>
      </c>
      <c r="Q49" s="4">
        <v>41</v>
      </c>
      <c r="R49" s="4">
        <v>80.7</v>
      </c>
      <c r="S49" s="4">
        <v>0.75</v>
      </c>
      <c r="T49" s="4">
        <v>9.1300000000000008</v>
      </c>
      <c r="U49" s="4">
        <v>9.4600000000000009</v>
      </c>
      <c r="V49" s="4">
        <v>46.6</v>
      </c>
      <c r="W49" s="4">
        <v>6.07</v>
      </c>
      <c r="X49" s="4">
        <v>83.1</v>
      </c>
      <c r="Y49" s="4">
        <v>0.3</v>
      </c>
      <c r="Z49" s="4">
        <v>14.3</v>
      </c>
      <c r="AA49" s="4">
        <v>2.2599999999999998</v>
      </c>
      <c r="AB49" s="4">
        <v>19.399999999999999</v>
      </c>
      <c r="AC49" s="4">
        <v>18.899999999999999</v>
      </c>
      <c r="AD49" s="4">
        <v>6.35</v>
      </c>
      <c r="AE49" s="4">
        <v>36</v>
      </c>
      <c r="AF49" s="4">
        <v>38.6</v>
      </c>
      <c r="AG49" s="4">
        <v>2.4900000000000002</v>
      </c>
      <c r="AH49" s="4">
        <v>0.56000000000000005</v>
      </c>
      <c r="AI49" s="4">
        <v>1.01</v>
      </c>
      <c r="AJ49" s="4">
        <v>94.9</v>
      </c>
      <c r="AK49" s="4">
        <v>3.29</v>
      </c>
      <c r="AL49" s="4">
        <v>13.3</v>
      </c>
      <c r="AM49" s="4">
        <v>3.81</v>
      </c>
      <c r="AN49" s="4">
        <v>3.17</v>
      </c>
      <c r="AO49" s="4">
        <v>5.0999999999999997E-2</v>
      </c>
      <c r="AP49" s="4">
        <v>18.2</v>
      </c>
      <c r="AQ49" s="4">
        <v>1.18</v>
      </c>
      <c r="AR49" s="4">
        <v>56.5</v>
      </c>
      <c r="AS49" s="4">
        <v>43.3</v>
      </c>
      <c r="AT49" s="4">
        <v>0.16</v>
      </c>
      <c r="AU49" s="4">
        <v>74.400000000000006</v>
      </c>
      <c r="AV49" s="4">
        <v>22.6</v>
      </c>
      <c r="AW49" s="4">
        <v>68.599999999999994</v>
      </c>
      <c r="AX49" s="4">
        <v>0.95</v>
      </c>
      <c r="AY49" s="4">
        <v>6.67</v>
      </c>
      <c r="AZ49" s="4">
        <v>11.4</v>
      </c>
      <c r="BA49" s="4">
        <v>20.100000000000001</v>
      </c>
      <c r="BB49" s="4">
        <v>45.4</v>
      </c>
      <c r="BC49" s="4">
        <v>86.6</v>
      </c>
      <c r="BD49" s="4">
        <v>2.7</v>
      </c>
      <c r="BE49" s="4">
        <v>16.5</v>
      </c>
      <c r="BF49" s="4">
        <v>19.3</v>
      </c>
      <c r="BG49" s="4">
        <v>-14.9</v>
      </c>
      <c r="BH49" s="4">
        <v>296</v>
      </c>
      <c r="BI49" s="4">
        <v>211</v>
      </c>
      <c r="BJ49" s="4">
        <v>138</v>
      </c>
      <c r="BK49" s="4">
        <v>564</v>
      </c>
      <c r="BL49" s="4">
        <v>210</v>
      </c>
      <c r="BM49" s="4">
        <v>52.5</v>
      </c>
    </row>
    <row r="50" spans="1:65" x14ac:dyDescent="0.2">
      <c r="A50" s="4" t="s">
        <v>347</v>
      </c>
      <c r="B50" s="4">
        <v>4.67</v>
      </c>
      <c r="C50" s="4">
        <v>10.8</v>
      </c>
      <c r="D50" s="4">
        <v>0.26</v>
      </c>
      <c r="E50" s="4">
        <v>57.1</v>
      </c>
      <c r="F50" s="4">
        <v>31.3</v>
      </c>
      <c r="G50" s="4">
        <v>70</v>
      </c>
      <c r="H50" s="4">
        <v>1.4999999999999999E-2</v>
      </c>
      <c r="I50" s="4">
        <v>0.27</v>
      </c>
      <c r="J50" s="4">
        <v>4.47</v>
      </c>
      <c r="K50" s="4">
        <v>65.3</v>
      </c>
      <c r="L50" s="4">
        <v>45.1</v>
      </c>
      <c r="M50" s="4">
        <v>6.27</v>
      </c>
      <c r="N50" s="4">
        <v>51.5</v>
      </c>
      <c r="O50" s="4">
        <v>23.3</v>
      </c>
      <c r="P50" s="4">
        <v>12.8</v>
      </c>
      <c r="Q50" s="4">
        <v>36.1</v>
      </c>
      <c r="R50" s="4">
        <v>69.8</v>
      </c>
      <c r="S50" s="4">
        <v>2.62</v>
      </c>
      <c r="T50" s="4">
        <v>13.4</v>
      </c>
      <c r="U50" s="4">
        <v>14.2</v>
      </c>
      <c r="V50" s="4">
        <v>50.1</v>
      </c>
      <c r="W50" s="4">
        <v>4.4400000000000004</v>
      </c>
      <c r="X50" s="4">
        <v>40.9</v>
      </c>
      <c r="Y50" s="4">
        <v>4.4000000000000004</v>
      </c>
      <c r="Z50" s="4">
        <v>45</v>
      </c>
      <c r="AA50" s="4">
        <v>9.69</v>
      </c>
      <c r="AB50" s="4">
        <v>19.100000000000001</v>
      </c>
      <c r="AC50" s="4">
        <v>4.04</v>
      </c>
      <c r="AD50" s="4">
        <v>12.9</v>
      </c>
      <c r="AE50" s="4">
        <v>59.8</v>
      </c>
      <c r="AF50" s="4">
        <v>19.2</v>
      </c>
      <c r="AG50" s="4">
        <v>20.7</v>
      </c>
      <c r="AH50" s="4">
        <v>8.4700000000000006</v>
      </c>
      <c r="AI50" s="4">
        <v>6.58</v>
      </c>
      <c r="AJ50" s="4">
        <v>81.900000000000006</v>
      </c>
      <c r="AK50" s="4">
        <v>2.27</v>
      </c>
      <c r="AL50" s="4">
        <v>12.3</v>
      </c>
      <c r="AM50" s="4">
        <v>45.6</v>
      </c>
      <c r="AN50" s="4">
        <v>0.4</v>
      </c>
      <c r="AO50" s="4">
        <v>4.3099999999999996</v>
      </c>
      <c r="AP50" s="4">
        <v>1.0900000000000001</v>
      </c>
      <c r="AQ50" s="4">
        <v>7.27</v>
      </c>
      <c r="AR50" s="4">
        <v>87.7</v>
      </c>
      <c r="AS50" s="4">
        <v>7.38</v>
      </c>
      <c r="AT50" s="4">
        <v>3.32</v>
      </c>
      <c r="AU50" s="4">
        <v>85.3</v>
      </c>
      <c r="AV50" s="4">
        <v>5.46</v>
      </c>
      <c r="AW50" s="4">
        <v>26.4</v>
      </c>
      <c r="AX50" s="4">
        <v>11.2</v>
      </c>
      <c r="AY50" s="4">
        <v>60.2</v>
      </c>
      <c r="AZ50" s="4">
        <v>2.39</v>
      </c>
      <c r="BA50" s="4">
        <v>16.5</v>
      </c>
      <c r="BB50" s="4">
        <v>79.8</v>
      </c>
      <c r="BC50" s="4">
        <v>88.6</v>
      </c>
      <c r="BD50" s="4">
        <v>1.19</v>
      </c>
      <c r="BE50" s="4">
        <v>4.72</v>
      </c>
      <c r="BF50" s="4">
        <v>39.9</v>
      </c>
      <c r="BG50" s="4">
        <v>20</v>
      </c>
      <c r="BH50" s="4">
        <v>540</v>
      </c>
      <c r="BI50" s="4">
        <v>551</v>
      </c>
      <c r="BJ50" s="4">
        <v>409</v>
      </c>
      <c r="BK50" s="4">
        <v>280</v>
      </c>
      <c r="BL50" s="4">
        <v>19.7</v>
      </c>
      <c r="BM50" s="4">
        <v>34.700000000000003</v>
      </c>
    </row>
    <row r="51" spans="1:65" x14ac:dyDescent="0.2">
      <c r="A51" s="4" t="s">
        <v>432</v>
      </c>
      <c r="B51" s="4">
        <v>3.44</v>
      </c>
      <c r="C51" s="4">
        <v>10.5</v>
      </c>
      <c r="D51" s="4">
        <v>6.8000000000000005E-2</v>
      </c>
      <c r="E51" s="4">
        <v>46.7</v>
      </c>
      <c r="F51" s="4">
        <v>43</v>
      </c>
      <c r="G51" s="4">
        <v>45</v>
      </c>
      <c r="H51" s="4">
        <v>2.8000000000000001E-2</v>
      </c>
      <c r="I51" s="4">
        <v>0.62</v>
      </c>
      <c r="J51" s="4">
        <v>3.6</v>
      </c>
      <c r="K51" s="4">
        <v>41</v>
      </c>
      <c r="L51" s="4">
        <v>18.899999999999999</v>
      </c>
      <c r="M51" s="4">
        <v>6.47</v>
      </c>
      <c r="N51" s="4">
        <v>43</v>
      </c>
      <c r="O51" s="4">
        <v>22.1</v>
      </c>
      <c r="P51" s="4">
        <v>24.1</v>
      </c>
      <c r="Q51" s="4">
        <v>36.6</v>
      </c>
      <c r="R51" s="4">
        <v>49.1</v>
      </c>
      <c r="S51" s="4">
        <v>6.97</v>
      </c>
      <c r="T51" s="4">
        <v>21.7</v>
      </c>
      <c r="U51" s="4">
        <v>22.3</v>
      </c>
      <c r="V51" s="4">
        <v>40.6</v>
      </c>
      <c r="W51" s="4">
        <v>11.3</v>
      </c>
      <c r="X51" s="4">
        <v>26.3</v>
      </c>
      <c r="Y51" s="4">
        <v>10.8</v>
      </c>
      <c r="Z51" s="4">
        <v>40.9</v>
      </c>
      <c r="AA51" s="4">
        <v>22</v>
      </c>
      <c r="AB51" s="4">
        <v>21.3</v>
      </c>
      <c r="AC51" s="4">
        <v>2.39</v>
      </c>
      <c r="AD51" s="4">
        <v>13.7</v>
      </c>
      <c r="AE51" s="4">
        <v>68.099999999999994</v>
      </c>
      <c r="AF51" s="4">
        <v>13.1</v>
      </c>
      <c r="AG51" s="4">
        <v>17.5</v>
      </c>
      <c r="AH51" s="4">
        <v>7.05</v>
      </c>
      <c r="AI51" s="4">
        <v>12.7</v>
      </c>
      <c r="AJ51" s="4">
        <v>68</v>
      </c>
      <c r="AK51" s="4">
        <v>10.3</v>
      </c>
      <c r="AL51" s="4">
        <v>17.600000000000001</v>
      </c>
      <c r="AM51" s="4">
        <v>37.700000000000003</v>
      </c>
      <c r="AN51" s="4">
        <v>0.34</v>
      </c>
      <c r="AO51" s="4">
        <v>3.18</v>
      </c>
      <c r="AP51" s="4">
        <v>0.56999999999999995</v>
      </c>
      <c r="AQ51" s="4">
        <v>1.97</v>
      </c>
      <c r="AR51" s="4">
        <v>82.4</v>
      </c>
      <c r="AS51" s="4">
        <v>13.3</v>
      </c>
      <c r="AT51" s="4">
        <v>1.93</v>
      </c>
      <c r="AU51" s="4">
        <v>91.7</v>
      </c>
      <c r="AV51" s="4">
        <v>4.68</v>
      </c>
      <c r="AW51" s="4">
        <v>28.7</v>
      </c>
      <c r="AX51" s="4">
        <v>10.6</v>
      </c>
      <c r="AY51" s="4">
        <v>54.1</v>
      </c>
      <c r="AZ51" s="4">
        <v>4.83</v>
      </c>
      <c r="BA51" s="4">
        <v>15.4</v>
      </c>
      <c r="BB51" s="4">
        <v>65.5</v>
      </c>
      <c r="BC51" s="4">
        <v>76.900000000000006</v>
      </c>
      <c r="BD51" s="4">
        <v>2.99</v>
      </c>
      <c r="BE51" s="4">
        <v>4.3499999999999996</v>
      </c>
      <c r="BF51" s="4">
        <v>14.3</v>
      </c>
      <c r="BG51" s="4">
        <v>-35.4</v>
      </c>
      <c r="BH51" s="4">
        <v>296</v>
      </c>
      <c r="BI51" s="4">
        <v>303</v>
      </c>
      <c r="BJ51" s="4">
        <v>377</v>
      </c>
      <c r="BK51" s="4">
        <v>285</v>
      </c>
      <c r="BL51" s="4">
        <v>111</v>
      </c>
      <c r="BM51" s="4">
        <v>7.76</v>
      </c>
    </row>
    <row r="52" spans="1:65" x14ac:dyDescent="0.2">
      <c r="A52" s="4" t="s">
        <v>454</v>
      </c>
      <c r="B52" s="4">
        <v>8.83</v>
      </c>
      <c r="C52" s="4">
        <v>14.1</v>
      </c>
      <c r="D52" s="4">
        <v>0.19</v>
      </c>
      <c r="E52" s="4">
        <v>43.9</v>
      </c>
      <c r="F52" s="4">
        <v>41.4</v>
      </c>
      <c r="G52" s="4">
        <v>83.6</v>
      </c>
      <c r="H52" s="4">
        <v>1.4999999999999999E-2</v>
      </c>
      <c r="I52" s="4">
        <v>0.44</v>
      </c>
      <c r="J52" s="4">
        <v>16.100000000000001</v>
      </c>
      <c r="K52" s="4">
        <v>67</v>
      </c>
      <c r="L52" s="4">
        <v>37.200000000000003</v>
      </c>
      <c r="M52" s="4">
        <v>12.8</v>
      </c>
      <c r="N52" s="4">
        <v>53.5</v>
      </c>
      <c r="O52" s="4">
        <v>17.600000000000001</v>
      </c>
      <c r="P52" s="4">
        <v>3.65</v>
      </c>
      <c r="Q52" s="4">
        <v>26.5</v>
      </c>
      <c r="R52" s="4">
        <v>48.1</v>
      </c>
      <c r="S52" s="4">
        <v>6.37</v>
      </c>
      <c r="T52" s="4">
        <v>32.200000000000003</v>
      </c>
      <c r="U52" s="4">
        <v>13.3</v>
      </c>
      <c r="V52" s="4">
        <v>36.4</v>
      </c>
      <c r="W52" s="4">
        <v>3.61</v>
      </c>
      <c r="X52" s="4">
        <v>51.3</v>
      </c>
      <c r="Y52" s="4">
        <v>4.47</v>
      </c>
      <c r="Z52" s="4">
        <v>29.1</v>
      </c>
      <c r="AA52" s="4">
        <v>15.2</v>
      </c>
      <c r="AB52" s="4">
        <v>28.8</v>
      </c>
      <c r="AC52" s="4">
        <v>2.33</v>
      </c>
      <c r="AD52" s="4">
        <v>2.12</v>
      </c>
      <c r="AE52" s="4">
        <v>55.1</v>
      </c>
      <c r="AF52" s="4">
        <v>37.6</v>
      </c>
      <c r="AG52" s="4">
        <v>2.57</v>
      </c>
      <c r="AH52" s="4">
        <v>9.0299999999999994</v>
      </c>
      <c r="AI52" s="4">
        <v>46.1</v>
      </c>
      <c r="AJ52" s="4">
        <v>42.1</v>
      </c>
      <c r="AK52" s="4">
        <v>1.06</v>
      </c>
      <c r="AL52" s="4">
        <v>19.2</v>
      </c>
      <c r="AM52" s="4">
        <v>49.4</v>
      </c>
      <c r="AN52" s="4">
        <v>1.55</v>
      </c>
      <c r="AO52" s="4">
        <v>17.3</v>
      </c>
      <c r="AP52" s="4">
        <v>2.41</v>
      </c>
      <c r="AQ52" s="4">
        <v>4.82</v>
      </c>
      <c r="AR52" s="4">
        <v>73</v>
      </c>
      <c r="AS52" s="4">
        <v>5.04</v>
      </c>
      <c r="AT52" s="4">
        <v>19.399999999999999</v>
      </c>
      <c r="AU52" s="4">
        <v>72.3</v>
      </c>
      <c r="AV52" s="4">
        <v>19.3</v>
      </c>
      <c r="AW52" s="4">
        <v>6.09</v>
      </c>
      <c r="AX52" s="4">
        <v>9.89</v>
      </c>
      <c r="AY52" s="4">
        <v>82.4</v>
      </c>
      <c r="AZ52" s="4">
        <v>2.34</v>
      </c>
      <c r="BA52" s="4">
        <v>25.3</v>
      </c>
      <c r="BB52" s="4">
        <v>57.8</v>
      </c>
      <c r="BC52" s="4">
        <v>81.3</v>
      </c>
      <c r="BD52" s="4">
        <v>2</v>
      </c>
      <c r="BE52" s="4">
        <v>4.4000000000000004</v>
      </c>
      <c r="BF52" s="4">
        <v>19.399999999999999</v>
      </c>
      <c r="BG52" s="4">
        <v>265</v>
      </c>
      <c r="BH52" s="4">
        <v>1211</v>
      </c>
      <c r="BI52" s="4">
        <v>453</v>
      </c>
      <c r="BJ52" s="4">
        <v>658</v>
      </c>
      <c r="BK52" s="4">
        <v>1159</v>
      </c>
      <c r="BL52" s="4">
        <v>193</v>
      </c>
      <c r="BM52" s="4">
        <v>54.6</v>
      </c>
    </row>
    <row r="53" spans="1:65" x14ac:dyDescent="0.2">
      <c r="A53" s="4" t="s">
        <v>435</v>
      </c>
      <c r="B53" s="4">
        <v>5.29</v>
      </c>
      <c r="C53" s="4">
        <v>13.6</v>
      </c>
      <c r="D53" s="4">
        <v>0.56000000000000005</v>
      </c>
      <c r="E53" s="4">
        <v>43.3</v>
      </c>
      <c r="F53" s="4">
        <v>42.2</v>
      </c>
      <c r="G53" s="4">
        <v>59.5</v>
      </c>
      <c r="H53" s="4">
        <v>2.8000000000000001E-2</v>
      </c>
      <c r="I53" s="4">
        <v>0.52</v>
      </c>
      <c r="J53" s="4">
        <v>1.89</v>
      </c>
      <c r="K53" s="4">
        <v>57.1</v>
      </c>
      <c r="L53" s="4">
        <v>29.8</v>
      </c>
      <c r="M53" s="4">
        <v>9.69</v>
      </c>
      <c r="N53" s="4">
        <v>38.200000000000003</v>
      </c>
      <c r="O53" s="4">
        <v>26.3</v>
      </c>
      <c r="P53" s="4">
        <v>20.8</v>
      </c>
      <c r="Q53" s="4">
        <v>45.2</v>
      </c>
      <c r="R53" s="4">
        <v>53.2</v>
      </c>
      <c r="S53" s="4">
        <v>7.78</v>
      </c>
      <c r="T53" s="4">
        <v>21.8</v>
      </c>
      <c r="U53" s="4">
        <v>17.3</v>
      </c>
      <c r="V53" s="4">
        <v>38.299999999999997</v>
      </c>
      <c r="W53" s="4">
        <v>6.18</v>
      </c>
      <c r="X53" s="4">
        <v>23.4</v>
      </c>
      <c r="Y53" s="4">
        <v>15.6</v>
      </c>
      <c r="Z53" s="4">
        <v>35.299999999999997</v>
      </c>
      <c r="AA53" s="4">
        <v>25.7</v>
      </c>
      <c r="AB53" s="4">
        <v>25.9</v>
      </c>
      <c r="AC53" s="4">
        <v>4.5599999999999996</v>
      </c>
      <c r="AD53" s="4">
        <v>30.9</v>
      </c>
      <c r="AE53" s="4">
        <v>45.2</v>
      </c>
      <c r="AF53" s="4">
        <v>15.6</v>
      </c>
      <c r="AG53" s="4">
        <v>19.600000000000001</v>
      </c>
      <c r="AH53" s="4">
        <v>3.2</v>
      </c>
      <c r="AI53" s="4">
        <v>5.69</v>
      </c>
      <c r="AJ53" s="4">
        <v>71</v>
      </c>
      <c r="AK53" s="4">
        <v>18.899999999999999</v>
      </c>
      <c r="AL53" s="4">
        <v>0.19</v>
      </c>
      <c r="AM53" s="4">
        <v>51.9</v>
      </c>
      <c r="AN53" s="4">
        <v>0.13</v>
      </c>
      <c r="AO53" s="4">
        <v>1.5</v>
      </c>
      <c r="AP53" s="4">
        <v>0.3</v>
      </c>
      <c r="AQ53" s="4">
        <v>0.45</v>
      </c>
      <c r="AR53" s="4">
        <v>69.099999999999994</v>
      </c>
      <c r="AS53" s="4">
        <v>28.8</v>
      </c>
      <c r="AT53" s="4">
        <v>0.11</v>
      </c>
      <c r="AU53" s="4">
        <v>71.3</v>
      </c>
      <c r="AV53" s="4">
        <v>27.5</v>
      </c>
      <c r="AW53" s="4">
        <v>24.4</v>
      </c>
      <c r="AX53" s="4">
        <v>3.85</v>
      </c>
      <c r="AY53" s="4">
        <v>62.7</v>
      </c>
      <c r="AZ53" s="4">
        <v>6.59</v>
      </c>
      <c r="BA53" s="4">
        <v>12.1</v>
      </c>
      <c r="BB53" s="4">
        <v>51</v>
      </c>
      <c r="BC53" s="4">
        <v>50.7</v>
      </c>
      <c r="BD53" s="4">
        <v>2.0699999999999998</v>
      </c>
      <c r="BE53" s="4">
        <v>9</v>
      </c>
      <c r="BF53" s="4">
        <v>14.7</v>
      </c>
      <c r="BG53" s="4">
        <v>-42.4</v>
      </c>
      <c r="BH53" s="4">
        <v>183</v>
      </c>
      <c r="BI53" s="4">
        <v>250</v>
      </c>
      <c r="BJ53" s="4">
        <v>182</v>
      </c>
      <c r="BK53" s="4">
        <v>151</v>
      </c>
      <c r="BL53" s="4">
        <v>101</v>
      </c>
      <c r="BM53" s="4">
        <v>17.600000000000001</v>
      </c>
    </row>
    <row r="54" spans="1:65" x14ac:dyDescent="0.2">
      <c r="A54" s="7" t="s">
        <v>464</v>
      </c>
      <c r="B54" s="7">
        <v>2.74</v>
      </c>
      <c r="C54" s="7">
        <v>19.399999999999999</v>
      </c>
      <c r="D54" s="7">
        <v>3.4000000000000002E-2</v>
      </c>
      <c r="E54" s="7">
        <v>34.6</v>
      </c>
      <c r="F54" s="7">
        <v>45.9</v>
      </c>
      <c r="G54" s="7">
        <v>94</v>
      </c>
      <c r="H54" s="7">
        <v>4.8000000000000001E-2</v>
      </c>
      <c r="I54" s="7">
        <v>0.41</v>
      </c>
      <c r="J54" s="7">
        <v>2.5499999999999998</v>
      </c>
      <c r="K54" s="7">
        <v>90.9</v>
      </c>
      <c r="L54" s="7">
        <v>32.6</v>
      </c>
      <c r="M54" s="7">
        <v>2.88</v>
      </c>
      <c r="N54" s="7">
        <v>59.2</v>
      </c>
      <c r="O54" s="7">
        <v>27.2</v>
      </c>
      <c r="P54" s="7">
        <v>10.6</v>
      </c>
      <c r="Q54" s="7">
        <v>35.9</v>
      </c>
      <c r="R54" s="7">
        <v>93.6</v>
      </c>
      <c r="S54" s="7">
        <v>8.7999999999999995E-2</v>
      </c>
      <c r="T54" s="7">
        <v>13.1</v>
      </c>
      <c r="U54" s="7">
        <v>1.33</v>
      </c>
      <c r="V54" s="7">
        <v>56.5</v>
      </c>
      <c r="W54" s="7">
        <v>1.46</v>
      </c>
      <c r="X54" s="7">
        <v>84.3</v>
      </c>
      <c r="Y54" s="7">
        <v>0.28999999999999998</v>
      </c>
      <c r="Z54" s="7">
        <v>13.6</v>
      </c>
      <c r="AA54" s="7">
        <v>1.76</v>
      </c>
      <c r="AB54" s="7">
        <v>55.3</v>
      </c>
      <c r="AC54" s="7">
        <v>2.77</v>
      </c>
      <c r="AD54" s="7">
        <v>22.9</v>
      </c>
      <c r="AE54" s="7">
        <v>49.6</v>
      </c>
      <c r="AF54" s="7">
        <v>24.5</v>
      </c>
      <c r="AG54" s="7">
        <v>4.9000000000000002E-2</v>
      </c>
      <c r="AH54" s="7">
        <v>1.89</v>
      </c>
      <c r="AI54" s="7">
        <v>24.5</v>
      </c>
      <c r="AJ54" s="7">
        <v>70.8</v>
      </c>
      <c r="AK54" s="7">
        <v>0.94</v>
      </c>
      <c r="AL54" s="7">
        <v>23.1</v>
      </c>
      <c r="AM54" s="7">
        <v>23.1</v>
      </c>
      <c r="AN54" s="7">
        <v>10.7</v>
      </c>
      <c r="AO54" s="7">
        <v>5.33</v>
      </c>
      <c r="AP54" s="7">
        <v>0</v>
      </c>
      <c r="AQ54" s="7">
        <v>100</v>
      </c>
      <c r="AR54" s="7">
        <v>76</v>
      </c>
      <c r="AS54" s="7">
        <v>2.67</v>
      </c>
      <c r="AT54" s="7">
        <v>14.7</v>
      </c>
      <c r="AU54" s="7">
        <v>100</v>
      </c>
      <c r="AV54" s="7">
        <v>0</v>
      </c>
      <c r="AW54" s="7">
        <v>26.9</v>
      </c>
      <c r="AX54" s="7">
        <v>19.2</v>
      </c>
      <c r="AY54" s="7">
        <v>50</v>
      </c>
      <c r="AZ54" s="7">
        <v>8.43</v>
      </c>
      <c r="BA54" s="7">
        <v>41.2</v>
      </c>
      <c r="BB54" s="7">
        <v>87.1</v>
      </c>
      <c r="BC54" s="7">
        <v>85.1</v>
      </c>
      <c r="BD54" s="7">
        <v>0.18</v>
      </c>
      <c r="BE54" s="7">
        <v>3.74</v>
      </c>
      <c r="BF54" s="7">
        <v>29.8</v>
      </c>
      <c r="BG54" s="7">
        <v>-3.33</v>
      </c>
      <c r="BH54" s="7">
        <v>971</v>
      </c>
      <c r="BI54" s="7">
        <v>379</v>
      </c>
      <c r="BJ54" s="7">
        <v>748</v>
      </c>
      <c r="BK54" s="7">
        <v>787</v>
      </c>
      <c r="BL54" s="7">
        <v>284</v>
      </c>
      <c r="BM54" s="7">
        <v>181</v>
      </c>
    </row>
    <row r="55" spans="1:65" x14ac:dyDescent="0.2">
      <c r="A55" s="7" t="s">
        <v>478</v>
      </c>
      <c r="B55" s="7">
        <v>11.9</v>
      </c>
      <c r="C55" s="7">
        <v>3.1</v>
      </c>
      <c r="D55" s="7">
        <v>0.16</v>
      </c>
      <c r="E55" s="7">
        <v>31.1</v>
      </c>
      <c r="F55" s="7">
        <v>65.7</v>
      </c>
      <c r="G55" s="7">
        <v>73</v>
      </c>
      <c r="H55" s="7">
        <v>1.4E-2</v>
      </c>
      <c r="I55" s="7">
        <v>3.71</v>
      </c>
      <c r="J55" s="7">
        <v>6.68</v>
      </c>
      <c r="K55" s="7">
        <v>63.5</v>
      </c>
      <c r="L55" s="7">
        <v>26.1</v>
      </c>
      <c r="M55" s="7">
        <v>7.71</v>
      </c>
      <c r="N55" s="7">
        <v>56.2</v>
      </c>
      <c r="O55" s="7">
        <v>18.899999999999999</v>
      </c>
      <c r="P55" s="7">
        <v>15.9</v>
      </c>
      <c r="Q55" s="7">
        <v>30.7</v>
      </c>
      <c r="R55" s="7">
        <v>81.3</v>
      </c>
      <c r="S55" s="7">
        <v>1.28</v>
      </c>
      <c r="T55" s="7">
        <v>4.99</v>
      </c>
      <c r="U55" s="7">
        <v>5.38</v>
      </c>
      <c r="V55" s="7">
        <v>52.3</v>
      </c>
      <c r="W55" s="7">
        <v>3.62</v>
      </c>
      <c r="X55" s="7">
        <v>58</v>
      </c>
      <c r="Y55" s="7">
        <v>1.05</v>
      </c>
      <c r="Z55" s="7">
        <v>36.9</v>
      </c>
      <c r="AA55" s="7">
        <v>4.05</v>
      </c>
      <c r="AB55" s="7">
        <v>34.4</v>
      </c>
      <c r="AC55" s="7">
        <v>1.57</v>
      </c>
      <c r="AD55" s="7">
        <v>7.38</v>
      </c>
      <c r="AE55" s="7">
        <v>24.3</v>
      </c>
      <c r="AF55" s="7">
        <v>66.7</v>
      </c>
      <c r="AG55" s="7">
        <v>11.2</v>
      </c>
      <c r="AH55" s="7">
        <v>1.18</v>
      </c>
      <c r="AI55" s="7">
        <v>1.32</v>
      </c>
      <c r="AJ55" s="7">
        <v>82</v>
      </c>
      <c r="AK55" s="7">
        <v>15.3</v>
      </c>
      <c r="AL55" s="7">
        <v>22.2</v>
      </c>
      <c r="AM55" s="7">
        <v>3.26</v>
      </c>
      <c r="AN55" s="7">
        <v>1.03</v>
      </c>
      <c r="AO55" s="7">
        <v>0.17</v>
      </c>
      <c r="AP55" s="7">
        <v>1.86</v>
      </c>
      <c r="AQ55" s="7">
        <v>0.06</v>
      </c>
      <c r="AR55" s="7">
        <v>96.7</v>
      </c>
      <c r="AS55" s="7">
        <v>5.5E-2</v>
      </c>
      <c r="AT55" s="7">
        <v>0.15</v>
      </c>
      <c r="AU55" s="7">
        <v>97.7</v>
      </c>
      <c r="AV55" s="7">
        <v>2.17</v>
      </c>
      <c r="AW55" s="7">
        <v>76.099999999999994</v>
      </c>
      <c r="AX55" s="7">
        <v>3.61</v>
      </c>
      <c r="AY55" s="7">
        <v>16.3</v>
      </c>
      <c r="AZ55" s="7">
        <v>1.0900000000000001</v>
      </c>
      <c r="BA55" s="7">
        <v>16.5</v>
      </c>
      <c r="BB55" s="7">
        <v>67.7</v>
      </c>
      <c r="BC55" s="7">
        <v>84.3</v>
      </c>
      <c r="BD55" s="7">
        <v>0.44</v>
      </c>
      <c r="BE55" s="7">
        <v>5.12</v>
      </c>
      <c r="BF55" s="7">
        <v>62.2</v>
      </c>
      <c r="BG55" s="7">
        <v>-49.4</v>
      </c>
      <c r="BH55" s="7">
        <v>557</v>
      </c>
      <c r="BI55" s="7">
        <v>466</v>
      </c>
      <c r="BJ55" s="7">
        <v>602</v>
      </c>
      <c r="BK55" s="7">
        <v>1089</v>
      </c>
      <c r="BL55" s="7">
        <v>321</v>
      </c>
      <c r="BM55" s="7">
        <v>52.1</v>
      </c>
    </row>
    <row r="56" spans="1:65" x14ac:dyDescent="0.2">
      <c r="A56" s="4" t="s">
        <v>456</v>
      </c>
      <c r="B56" s="4">
        <v>7.51</v>
      </c>
      <c r="C56" s="4">
        <v>3.03</v>
      </c>
      <c r="D56" s="4">
        <v>0.11</v>
      </c>
      <c r="E56" s="4">
        <v>22</v>
      </c>
      <c r="F56" s="4">
        <v>74.599999999999994</v>
      </c>
      <c r="G56" s="4">
        <v>76.099999999999994</v>
      </c>
      <c r="H56" s="4">
        <v>1.4999999999999999E-2</v>
      </c>
      <c r="I56" s="4">
        <v>2.0699999999999998</v>
      </c>
      <c r="J56" s="4">
        <v>1.02</v>
      </c>
      <c r="K56" s="4">
        <v>73.5</v>
      </c>
      <c r="L56" s="4">
        <v>30</v>
      </c>
      <c r="M56" s="4">
        <v>9.1199999999999992</v>
      </c>
      <c r="N56" s="4">
        <v>41.6</v>
      </c>
      <c r="O56" s="4">
        <v>30.1</v>
      </c>
      <c r="P56" s="4">
        <v>16.100000000000001</v>
      </c>
      <c r="Q56" s="4">
        <v>43.9</v>
      </c>
      <c r="R56" s="4">
        <v>55.8</v>
      </c>
      <c r="S56" s="4">
        <v>4.4400000000000004</v>
      </c>
      <c r="T56" s="4">
        <v>15.9</v>
      </c>
      <c r="U56" s="4">
        <v>23.9</v>
      </c>
      <c r="V56" s="4">
        <v>42.1</v>
      </c>
      <c r="W56" s="4">
        <v>4.3600000000000003</v>
      </c>
      <c r="X56" s="4">
        <v>24.4</v>
      </c>
      <c r="Y56" s="4">
        <v>10.6</v>
      </c>
      <c r="Z56" s="4">
        <v>30</v>
      </c>
      <c r="AA56" s="4">
        <v>35</v>
      </c>
      <c r="AB56" s="4">
        <v>42</v>
      </c>
      <c r="AC56" s="4">
        <v>5.8</v>
      </c>
      <c r="AD56" s="4">
        <v>29.6</v>
      </c>
      <c r="AE56" s="4">
        <v>37</v>
      </c>
      <c r="AF56" s="4">
        <v>23.5</v>
      </c>
      <c r="AG56" s="4">
        <v>12.2</v>
      </c>
      <c r="AH56" s="4">
        <v>2.72</v>
      </c>
      <c r="AI56" s="4">
        <v>4.95</v>
      </c>
      <c r="AJ56" s="4">
        <v>83.3</v>
      </c>
      <c r="AK56" s="4">
        <v>8.19</v>
      </c>
      <c r="AL56" s="4">
        <v>25.7</v>
      </c>
      <c r="AM56" s="4">
        <v>49.3</v>
      </c>
      <c r="AN56" s="4">
        <v>0.76</v>
      </c>
      <c r="AO56" s="4">
        <v>0.88</v>
      </c>
      <c r="AP56" s="4">
        <v>2.91</v>
      </c>
      <c r="AQ56" s="4">
        <v>0.88</v>
      </c>
      <c r="AR56" s="4">
        <v>83.3</v>
      </c>
      <c r="AS56" s="4">
        <v>15.4</v>
      </c>
      <c r="AT56" s="4">
        <v>1.0900000000000001</v>
      </c>
      <c r="AU56" s="4">
        <v>80.099999999999994</v>
      </c>
      <c r="AV56" s="4">
        <v>18.8</v>
      </c>
      <c r="AW56" s="4">
        <v>14.5</v>
      </c>
      <c r="AX56" s="4">
        <v>5.79</v>
      </c>
      <c r="AY56" s="4">
        <v>77.7</v>
      </c>
      <c r="AZ56" s="4">
        <v>0.91</v>
      </c>
      <c r="BA56" s="4">
        <v>14.5</v>
      </c>
      <c r="BB56" s="4">
        <v>80.3</v>
      </c>
      <c r="BC56" s="4">
        <v>81.2</v>
      </c>
      <c r="BD56" s="4">
        <v>1.1000000000000001</v>
      </c>
      <c r="BE56" s="4">
        <v>3.53</v>
      </c>
      <c r="BF56" s="4">
        <v>63.9</v>
      </c>
      <c r="BG56" s="4">
        <v>-5.33</v>
      </c>
      <c r="BH56" s="4">
        <v>284</v>
      </c>
      <c r="BI56" s="4">
        <v>270</v>
      </c>
      <c r="BJ56" s="4">
        <v>294</v>
      </c>
      <c r="BK56" s="4">
        <v>203</v>
      </c>
      <c r="BL56" s="4">
        <v>37.5</v>
      </c>
      <c r="BM56" s="4">
        <v>22.4</v>
      </c>
    </row>
    <row r="57" spans="1:65" x14ac:dyDescent="0.2">
      <c r="A57" t="s">
        <v>458</v>
      </c>
      <c r="B57">
        <v>13.7</v>
      </c>
      <c r="C57">
        <v>10.4</v>
      </c>
      <c r="D57">
        <v>1.9E-2</v>
      </c>
      <c r="E57">
        <v>35.799999999999997</v>
      </c>
      <c r="F57">
        <v>53.7</v>
      </c>
      <c r="G57">
        <v>66.099999999999994</v>
      </c>
      <c r="H57">
        <v>4.8000000000000001E-2</v>
      </c>
      <c r="I57">
        <v>0.9</v>
      </c>
      <c r="J57">
        <v>2.2000000000000002</v>
      </c>
      <c r="K57">
        <v>62.8</v>
      </c>
      <c r="L57">
        <v>39.799999999999997</v>
      </c>
      <c r="M57">
        <v>5.51</v>
      </c>
      <c r="N57">
        <v>41.6</v>
      </c>
      <c r="O57">
        <v>29.7</v>
      </c>
      <c r="P57">
        <v>21.9</v>
      </c>
      <c r="Q57">
        <v>44.8</v>
      </c>
      <c r="R57">
        <v>38.799999999999997</v>
      </c>
      <c r="S57">
        <v>17.8</v>
      </c>
      <c r="T57">
        <v>12</v>
      </c>
      <c r="U57">
        <v>23</v>
      </c>
      <c r="V57">
        <v>41.6</v>
      </c>
      <c r="W57">
        <v>7.46</v>
      </c>
      <c r="X57">
        <v>39.5</v>
      </c>
      <c r="Y57">
        <v>6.9</v>
      </c>
      <c r="Z57">
        <v>37.799999999999997</v>
      </c>
      <c r="AA57">
        <v>15.7</v>
      </c>
      <c r="AB57">
        <v>21.8</v>
      </c>
      <c r="AC57">
        <v>3.18</v>
      </c>
      <c r="AD57">
        <v>28.7</v>
      </c>
      <c r="AE57">
        <v>25</v>
      </c>
      <c r="AF57">
        <v>43</v>
      </c>
      <c r="AG57">
        <v>16.5</v>
      </c>
      <c r="AH57">
        <v>24.4</v>
      </c>
      <c r="AI57">
        <v>41</v>
      </c>
      <c r="AJ57">
        <v>29.2</v>
      </c>
      <c r="AK57">
        <v>2.31</v>
      </c>
      <c r="AL57">
        <v>25.5</v>
      </c>
      <c r="AM57">
        <v>44.2</v>
      </c>
      <c r="AN57">
        <v>4.5</v>
      </c>
      <c r="AO57">
        <v>23.3</v>
      </c>
      <c r="AP57">
        <v>7.69</v>
      </c>
      <c r="AQ57">
        <v>14.3</v>
      </c>
      <c r="AR57">
        <v>74.099999999999994</v>
      </c>
      <c r="AS57">
        <v>1.1299999999999999</v>
      </c>
      <c r="AT57">
        <v>5.09</v>
      </c>
      <c r="AU57">
        <v>84.3</v>
      </c>
      <c r="AV57">
        <v>0.81</v>
      </c>
      <c r="AW57">
        <v>18.2</v>
      </c>
      <c r="AX57">
        <v>29.7</v>
      </c>
      <c r="AY57">
        <v>48.1</v>
      </c>
      <c r="AZ57">
        <v>1.0900000000000001</v>
      </c>
      <c r="BA57">
        <v>12.9</v>
      </c>
      <c r="BB57">
        <v>52.9</v>
      </c>
      <c r="BC57">
        <v>73.599999999999994</v>
      </c>
      <c r="BD57">
        <v>0.32</v>
      </c>
      <c r="BE57">
        <v>3.64</v>
      </c>
      <c r="BF57">
        <v>19.100000000000001</v>
      </c>
      <c r="BG57">
        <v>-76.099999999999994</v>
      </c>
      <c r="BH57">
        <v>285</v>
      </c>
      <c r="BI57">
        <v>370</v>
      </c>
      <c r="BJ57">
        <v>207</v>
      </c>
      <c r="BK57">
        <v>490</v>
      </c>
      <c r="BL57">
        <v>235</v>
      </c>
      <c r="BM57">
        <v>7.9</v>
      </c>
    </row>
    <row r="58" spans="1:65" x14ac:dyDescent="0.2">
      <c r="A58" t="s">
        <v>468</v>
      </c>
      <c r="B58">
        <v>10.5</v>
      </c>
      <c r="C58">
        <v>14.6</v>
      </c>
      <c r="D58">
        <v>0.74</v>
      </c>
      <c r="E58">
        <v>24.5</v>
      </c>
      <c r="F58">
        <v>60.2</v>
      </c>
      <c r="G58">
        <v>75.2</v>
      </c>
      <c r="H58">
        <v>0.04</v>
      </c>
      <c r="I58">
        <v>0.45</v>
      </c>
      <c r="J58">
        <v>3.9</v>
      </c>
      <c r="K58">
        <v>70.3</v>
      </c>
      <c r="L58">
        <v>45.2</v>
      </c>
      <c r="M58">
        <v>11.9</v>
      </c>
      <c r="N58">
        <v>59.3</v>
      </c>
      <c r="O58">
        <v>17.5</v>
      </c>
      <c r="P58">
        <v>10.4</v>
      </c>
      <c r="Q58">
        <v>26.2</v>
      </c>
      <c r="R58">
        <v>45.2</v>
      </c>
      <c r="S58">
        <v>7.81</v>
      </c>
      <c r="T58">
        <v>20.399999999999999</v>
      </c>
      <c r="U58">
        <v>27.4</v>
      </c>
      <c r="V58">
        <v>58</v>
      </c>
      <c r="W58">
        <v>2.25</v>
      </c>
      <c r="X58">
        <v>39.6</v>
      </c>
      <c r="Y58">
        <v>6.42</v>
      </c>
      <c r="Z58">
        <v>33.200000000000003</v>
      </c>
      <c r="AA58">
        <v>20.7</v>
      </c>
      <c r="AB58">
        <v>23.3</v>
      </c>
      <c r="AC58">
        <v>0.73</v>
      </c>
      <c r="AD58">
        <v>22.8</v>
      </c>
      <c r="AE58">
        <v>28.6</v>
      </c>
      <c r="AF58">
        <v>47.8</v>
      </c>
      <c r="AG58">
        <v>12.6</v>
      </c>
      <c r="AH58">
        <v>35.1</v>
      </c>
      <c r="AI58">
        <v>5.1100000000000003</v>
      </c>
      <c r="AJ58">
        <v>44.7</v>
      </c>
      <c r="AK58">
        <v>14.2</v>
      </c>
      <c r="AL58">
        <v>18.3</v>
      </c>
      <c r="AM58">
        <v>31.3</v>
      </c>
      <c r="AN58">
        <v>0.75</v>
      </c>
      <c r="AO58">
        <v>3.47</v>
      </c>
      <c r="AP58">
        <v>0.71</v>
      </c>
      <c r="AQ58">
        <v>0.79</v>
      </c>
      <c r="AR58">
        <v>82.3</v>
      </c>
      <c r="AS58">
        <v>13.9</v>
      </c>
      <c r="AT58">
        <v>3.61</v>
      </c>
      <c r="AU58">
        <v>94.9</v>
      </c>
      <c r="AV58">
        <v>4.4400000000000004</v>
      </c>
      <c r="AW58">
        <v>28.3</v>
      </c>
      <c r="AX58">
        <v>4.43</v>
      </c>
      <c r="AY58">
        <v>56.3</v>
      </c>
      <c r="AZ58">
        <v>0.37</v>
      </c>
      <c r="BA58">
        <v>6.78</v>
      </c>
      <c r="BB58">
        <v>63.3</v>
      </c>
      <c r="BC58">
        <v>88.1</v>
      </c>
      <c r="BD58">
        <v>0.19</v>
      </c>
      <c r="BE58">
        <v>4.91</v>
      </c>
      <c r="BF58">
        <v>24.6</v>
      </c>
      <c r="BG58">
        <v>-57.6</v>
      </c>
      <c r="BH58">
        <v>290</v>
      </c>
      <c r="BI58">
        <v>647</v>
      </c>
      <c r="BJ58">
        <v>402</v>
      </c>
      <c r="BK58">
        <v>685</v>
      </c>
      <c r="BL58">
        <v>172</v>
      </c>
      <c r="BM58">
        <v>3.23</v>
      </c>
    </row>
    <row r="59" spans="1:65" x14ac:dyDescent="0.2">
      <c r="A59" s="5" t="s">
        <v>500</v>
      </c>
      <c r="B59" s="5">
        <v>7.7</v>
      </c>
      <c r="C59" s="5">
        <v>0.49</v>
      </c>
      <c r="D59" s="5">
        <v>0.14000000000000001</v>
      </c>
      <c r="E59" s="5">
        <v>23.9</v>
      </c>
      <c r="F59" s="5">
        <v>75.5</v>
      </c>
      <c r="G59" s="5">
        <v>74.400000000000006</v>
      </c>
      <c r="H59" s="13">
        <v>5.7800000000000004E-3</v>
      </c>
      <c r="I59" s="5">
        <v>5.3999999999999999E-2</v>
      </c>
      <c r="J59" s="5">
        <v>0.51</v>
      </c>
      <c r="K59" s="5">
        <v>73.8</v>
      </c>
      <c r="L59" s="5">
        <v>55.4</v>
      </c>
      <c r="M59" s="5">
        <v>11.8</v>
      </c>
      <c r="N59" s="5">
        <v>30.2</v>
      </c>
      <c r="O59" s="5">
        <v>42.8</v>
      </c>
      <c r="P59" s="5">
        <v>14.5</v>
      </c>
      <c r="Q59" s="5">
        <v>48.4</v>
      </c>
      <c r="R59" s="5">
        <v>52.1</v>
      </c>
      <c r="S59" s="5">
        <v>6.96</v>
      </c>
      <c r="T59" s="5">
        <v>19.600000000000001</v>
      </c>
      <c r="U59" s="5">
        <v>15.2</v>
      </c>
      <c r="V59" s="5">
        <v>30</v>
      </c>
      <c r="W59" s="5">
        <v>8.5500000000000007</v>
      </c>
      <c r="X59" s="5">
        <v>27.6</v>
      </c>
      <c r="Y59" s="5">
        <v>7.5</v>
      </c>
      <c r="Z59" s="5">
        <v>41.9</v>
      </c>
      <c r="AA59" s="5">
        <v>23.1</v>
      </c>
      <c r="AB59" s="5">
        <v>16.399999999999999</v>
      </c>
      <c r="AC59" s="5">
        <v>24.9</v>
      </c>
      <c r="AD59" s="5">
        <v>13.3</v>
      </c>
      <c r="AE59" s="5">
        <v>12.8</v>
      </c>
      <c r="AF59" s="5">
        <v>48.9</v>
      </c>
      <c r="AG59" s="5">
        <v>15.9</v>
      </c>
      <c r="AH59" s="5">
        <v>2.16</v>
      </c>
      <c r="AI59" s="5">
        <v>22.1</v>
      </c>
      <c r="AJ59" s="5">
        <v>74.400000000000006</v>
      </c>
      <c r="AK59" s="5">
        <v>1.07</v>
      </c>
      <c r="AL59" s="5">
        <v>30.9</v>
      </c>
      <c r="AM59" s="5">
        <v>44.7</v>
      </c>
      <c r="AN59" s="5">
        <v>0.5</v>
      </c>
      <c r="AO59" s="5">
        <v>1.0900000000000001</v>
      </c>
      <c r="AP59" s="5">
        <v>1.03</v>
      </c>
      <c r="AQ59" s="5">
        <v>1.65</v>
      </c>
      <c r="AR59" s="5">
        <v>95.1</v>
      </c>
      <c r="AS59" s="5">
        <v>0.33</v>
      </c>
      <c r="AT59" s="5">
        <v>1.24</v>
      </c>
      <c r="AU59" s="5">
        <v>97.9</v>
      </c>
      <c r="AV59" s="5">
        <v>0.41</v>
      </c>
      <c r="AW59" s="5">
        <v>14</v>
      </c>
      <c r="AX59" s="5">
        <v>5.0199999999999996</v>
      </c>
      <c r="AY59" s="5">
        <v>78.3</v>
      </c>
      <c r="AZ59" s="5">
        <v>0.31</v>
      </c>
      <c r="BA59" s="5">
        <v>1.33</v>
      </c>
      <c r="BB59" s="5">
        <v>21.7</v>
      </c>
      <c r="BC59" s="5">
        <v>73</v>
      </c>
      <c r="BD59" s="5">
        <v>0.16</v>
      </c>
      <c r="BE59" s="5">
        <v>1.19</v>
      </c>
      <c r="BF59" s="5">
        <v>44.6</v>
      </c>
      <c r="BG59" s="5">
        <v>-131</v>
      </c>
      <c r="BH59" s="5">
        <v>159</v>
      </c>
      <c r="BI59" s="5">
        <v>330</v>
      </c>
      <c r="BJ59" s="5">
        <v>122</v>
      </c>
      <c r="BK59" s="5">
        <v>351</v>
      </c>
      <c r="BL59" s="5">
        <v>104</v>
      </c>
      <c r="BM59" s="5">
        <v>16.899999999999999</v>
      </c>
    </row>
    <row r="60" spans="1:65" x14ac:dyDescent="0.2">
      <c r="A60" s="30" t="s">
        <v>499</v>
      </c>
      <c r="B60" s="30">
        <v>22.3</v>
      </c>
      <c r="C60" s="30">
        <v>3.3</v>
      </c>
      <c r="D60" s="30">
        <v>6.13</v>
      </c>
      <c r="E60" s="30">
        <v>2.73</v>
      </c>
      <c r="F60" s="30">
        <v>87.8</v>
      </c>
      <c r="G60" s="30">
        <v>70.2</v>
      </c>
      <c r="H60" s="30">
        <v>0.18</v>
      </c>
      <c r="I60" s="30">
        <v>0.51</v>
      </c>
      <c r="J60" s="30">
        <v>3.49</v>
      </c>
      <c r="K60" s="30">
        <v>66.099999999999994</v>
      </c>
      <c r="L60" s="30">
        <v>35.799999999999997</v>
      </c>
      <c r="M60" s="30">
        <v>9.2100000000000009</v>
      </c>
      <c r="N60" s="30">
        <v>42.9</v>
      </c>
      <c r="O60" s="30">
        <v>37.4</v>
      </c>
      <c r="P60" s="30">
        <v>8.84</v>
      </c>
      <c r="Q60" s="30">
        <v>36.700000000000003</v>
      </c>
      <c r="R60" s="30">
        <v>50.2</v>
      </c>
      <c r="S60" s="30">
        <v>6.05</v>
      </c>
      <c r="T60" s="30">
        <v>25.8</v>
      </c>
      <c r="U60" s="30">
        <v>32.200000000000003</v>
      </c>
      <c r="V60" s="30">
        <v>43.5</v>
      </c>
      <c r="W60" s="30">
        <v>8.91</v>
      </c>
      <c r="X60" s="30">
        <v>29.1</v>
      </c>
      <c r="Y60" s="30">
        <v>9.85</v>
      </c>
      <c r="Z60" s="30">
        <v>22.8</v>
      </c>
      <c r="AA60" s="30">
        <v>38.200000000000003</v>
      </c>
      <c r="AB60" s="30">
        <v>27.9</v>
      </c>
      <c r="AC60" s="30">
        <v>4.8</v>
      </c>
      <c r="AD60" s="30">
        <v>7.28</v>
      </c>
      <c r="AE60" s="30">
        <v>9.69</v>
      </c>
      <c r="AF60" s="30">
        <v>78.2</v>
      </c>
      <c r="AG60" s="30">
        <v>4.96</v>
      </c>
      <c r="AH60" s="30">
        <v>27.2</v>
      </c>
      <c r="AI60" s="30">
        <v>21</v>
      </c>
      <c r="AJ60" s="30">
        <v>33.4</v>
      </c>
      <c r="AK60" s="30">
        <v>8.34</v>
      </c>
      <c r="AL60" s="30">
        <v>34</v>
      </c>
      <c r="AM60" s="30">
        <v>17</v>
      </c>
      <c r="AN60" s="30">
        <v>2.17</v>
      </c>
      <c r="AO60" s="30">
        <v>0.62</v>
      </c>
      <c r="AP60" s="30">
        <v>9.23</v>
      </c>
      <c r="AQ60" s="30">
        <v>1.78</v>
      </c>
      <c r="AR60" s="30">
        <v>91.9</v>
      </c>
      <c r="AS60" s="30">
        <v>5.58</v>
      </c>
      <c r="AT60" s="30">
        <v>2.3199999999999998</v>
      </c>
      <c r="AU60" s="30">
        <v>84.5</v>
      </c>
      <c r="AV60" s="30">
        <v>5.59</v>
      </c>
      <c r="AW60" s="30">
        <v>30.3</v>
      </c>
      <c r="AX60" s="30">
        <v>7.54</v>
      </c>
      <c r="AY60" s="30">
        <v>58.2</v>
      </c>
      <c r="AZ60" s="30">
        <v>0.54</v>
      </c>
      <c r="BA60" s="30">
        <v>13.6</v>
      </c>
      <c r="BB60" s="30">
        <v>60.6</v>
      </c>
      <c r="BC60" s="30">
        <v>69.900000000000006</v>
      </c>
      <c r="BD60" s="30">
        <v>0.88</v>
      </c>
      <c r="BE60" s="30">
        <v>10.9</v>
      </c>
      <c r="BF60" s="30">
        <v>19.5</v>
      </c>
      <c r="BG60" s="30">
        <v>74</v>
      </c>
      <c r="BH60" s="30">
        <v>537</v>
      </c>
      <c r="BI60" s="30">
        <v>491</v>
      </c>
      <c r="BJ60" s="30">
        <v>461</v>
      </c>
      <c r="BK60" s="30">
        <v>772</v>
      </c>
      <c r="BL60" s="30">
        <v>365</v>
      </c>
      <c r="BM60" s="30">
        <v>13.5</v>
      </c>
    </row>
    <row r="61" spans="1:65" x14ac:dyDescent="0.2">
      <c r="A61" t="s">
        <v>491</v>
      </c>
      <c r="B61">
        <v>3.73</v>
      </c>
      <c r="C61">
        <v>8.31</v>
      </c>
      <c r="D61">
        <v>0.55000000000000004</v>
      </c>
      <c r="E61">
        <v>29.6</v>
      </c>
      <c r="F61">
        <v>61.5</v>
      </c>
      <c r="G61">
        <v>91.8</v>
      </c>
      <c r="H61">
        <v>2.4E-2</v>
      </c>
      <c r="I61">
        <v>1.72</v>
      </c>
      <c r="J61">
        <v>2.58</v>
      </c>
      <c r="K61">
        <v>87.3</v>
      </c>
      <c r="L61">
        <v>48.8</v>
      </c>
      <c r="M61">
        <v>13.3</v>
      </c>
      <c r="N61">
        <v>41.5</v>
      </c>
      <c r="O61">
        <v>26.2</v>
      </c>
      <c r="P61">
        <v>17.100000000000001</v>
      </c>
      <c r="Q61">
        <v>39</v>
      </c>
      <c r="R61">
        <v>47</v>
      </c>
      <c r="S61">
        <v>13</v>
      </c>
      <c r="T61">
        <v>11.5</v>
      </c>
      <c r="U61">
        <v>15.6</v>
      </c>
      <c r="V61">
        <v>42</v>
      </c>
      <c r="W61">
        <v>5.22</v>
      </c>
      <c r="X61">
        <v>35.9</v>
      </c>
      <c r="Y61">
        <v>8.4600000000000009</v>
      </c>
      <c r="Z61">
        <v>39.1</v>
      </c>
      <c r="AA61">
        <v>16.5</v>
      </c>
      <c r="AB61">
        <v>37.5</v>
      </c>
      <c r="AC61">
        <v>2.98</v>
      </c>
      <c r="AD61">
        <v>11.7</v>
      </c>
      <c r="AE61">
        <v>36.299999999999997</v>
      </c>
      <c r="AF61">
        <v>48.9</v>
      </c>
      <c r="AG61">
        <v>1.93</v>
      </c>
      <c r="AH61">
        <v>14.3</v>
      </c>
      <c r="AI61">
        <v>25.6</v>
      </c>
      <c r="AJ61">
        <v>50.6</v>
      </c>
      <c r="AK61">
        <v>8.11</v>
      </c>
      <c r="AL61">
        <v>21</v>
      </c>
      <c r="AM61">
        <v>31.5</v>
      </c>
      <c r="AN61">
        <v>4.6100000000000003</v>
      </c>
      <c r="AO61">
        <v>2.33</v>
      </c>
      <c r="AP61">
        <v>23.5</v>
      </c>
      <c r="AQ61">
        <v>1.23</v>
      </c>
      <c r="AR61">
        <v>93</v>
      </c>
      <c r="AS61">
        <v>3.32</v>
      </c>
      <c r="AT61">
        <v>1.74</v>
      </c>
      <c r="AU61">
        <v>98.6</v>
      </c>
      <c r="AV61">
        <v>0</v>
      </c>
      <c r="AW61">
        <v>27.2</v>
      </c>
      <c r="AX61">
        <v>17</v>
      </c>
      <c r="AY61">
        <v>49.6</v>
      </c>
      <c r="AZ61">
        <v>0.59</v>
      </c>
      <c r="BA61">
        <v>5.52</v>
      </c>
      <c r="BB61">
        <v>53.2</v>
      </c>
      <c r="BC61">
        <v>84.7</v>
      </c>
      <c r="BD61">
        <v>0.17</v>
      </c>
      <c r="BE61">
        <v>3.93</v>
      </c>
      <c r="BF61">
        <v>49.2</v>
      </c>
      <c r="BG61">
        <v>-83.7</v>
      </c>
      <c r="BH61">
        <v>210</v>
      </c>
      <c r="BI61">
        <v>272</v>
      </c>
      <c r="BJ61">
        <v>231</v>
      </c>
      <c r="BK61">
        <v>461</v>
      </c>
      <c r="BL61">
        <v>92.1</v>
      </c>
      <c r="BM61">
        <v>-13.1</v>
      </c>
    </row>
    <row r="62" spans="1:65" x14ac:dyDescent="0.2">
      <c r="A62" t="s">
        <v>463</v>
      </c>
      <c r="B62">
        <v>14.6</v>
      </c>
      <c r="C62">
        <v>1.69</v>
      </c>
      <c r="D62">
        <v>0.23</v>
      </c>
      <c r="E62">
        <v>21</v>
      </c>
      <c r="F62">
        <v>77.099999999999994</v>
      </c>
      <c r="G62">
        <v>75.7</v>
      </c>
      <c r="H62">
        <v>1.2E-2</v>
      </c>
      <c r="I62">
        <v>0.46</v>
      </c>
      <c r="J62">
        <v>1.02</v>
      </c>
      <c r="K62">
        <v>74.3</v>
      </c>
      <c r="L62">
        <v>44.6</v>
      </c>
      <c r="M62">
        <v>4.21</v>
      </c>
      <c r="N62">
        <v>62.7</v>
      </c>
      <c r="O62">
        <v>25.6</v>
      </c>
      <c r="P62">
        <v>7.03</v>
      </c>
      <c r="Q62">
        <v>28.9</v>
      </c>
      <c r="R62">
        <v>55.5</v>
      </c>
      <c r="S62">
        <v>7.35</v>
      </c>
      <c r="T62">
        <v>24.4</v>
      </c>
      <c r="U62">
        <v>13</v>
      </c>
      <c r="V62">
        <v>57.7</v>
      </c>
      <c r="W62">
        <v>3.16</v>
      </c>
      <c r="X62">
        <v>28.4</v>
      </c>
      <c r="Y62">
        <v>10.9</v>
      </c>
      <c r="Z62">
        <v>30.6</v>
      </c>
      <c r="AA62">
        <v>30.2</v>
      </c>
      <c r="AB62">
        <v>29.1</v>
      </c>
      <c r="AC62">
        <v>3.65</v>
      </c>
      <c r="AD62">
        <v>14.7</v>
      </c>
      <c r="AE62">
        <v>66.5</v>
      </c>
      <c r="AF62">
        <v>15.2</v>
      </c>
      <c r="AG62">
        <v>6.85</v>
      </c>
      <c r="AH62">
        <v>7.19</v>
      </c>
      <c r="AI62">
        <v>48</v>
      </c>
      <c r="AJ62">
        <v>30.1</v>
      </c>
      <c r="AK62">
        <v>3.98</v>
      </c>
      <c r="AL62">
        <v>3.97</v>
      </c>
      <c r="AM62">
        <v>6.31</v>
      </c>
      <c r="AN62">
        <v>1.42</v>
      </c>
      <c r="AO62">
        <v>0.89</v>
      </c>
      <c r="AP62">
        <v>45</v>
      </c>
      <c r="AQ62">
        <v>4.9400000000000004</v>
      </c>
      <c r="AR62">
        <v>90.6</v>
      </c>
      <c r="AS62">
        <v>7.05</v>
      </c>
      <c r="AT62">
        <v>2.21</v>
      </c>
      <c r="AU62">
        <v>45.4</v>
      </c>
      <c r="AV62">
        <v>5.2</v>
      </c>
      <c r="AW62">
        <v>75.3</v>
      </c>
      <c r="AX62">
        <v>3.52</v>
      </c>
      <c r="AY62">
        <v>12.1</v>
      </c>
      <c r="AZ62">
        <v>3.59</v>
      </c>
      <c r="BA62">
        <v>10.5</v>
      </c>
      <c r="BB62">
        <v>75.3</v>
      </c>
      <c r="BC62">
        <v>84.4</v>
      </c>
      <c r="BD62">
        <v>0.7</v>
      </c>
      <c r="BE62">
        <v>7.28</v>
      </c>
      <c r="BF62">
        <v>36.700000000000003</v>
      </c>
      <c r="BG62">
        <v>160</v>
      </c>
      <c r="BH62">
        <v>564</v>
      </c>
      <c r="BI62">
        <v>750</v>
      </c>
      <c r="BJ62">
        <v>477</v>
      </c>
      <c r="BK62">
        <v>374</v>
      </c>
      <c r="BL62">
        <v>73.5</v>
      </c>
      <c r="BM62">
        <v>41.4</v>
      </c>
    </row>
    <row r="63" spans="1:65" x14ac:dyDescent="0.2">
      <c r="A63" t="s">
        <v>490</v>
      </c>
      <c r="B63">
        <v>20.3</v>
      </c>
      <c r="C63">
        <v>6.13</v>
      </c>
      <c r="D63">
        <v>0.3</v>
      </c>
      <c r="E63">
        <v>30.3</v>
      </c>
      <c r="F63">
        <v>63.3</v>
      </c>
      <c r="G63">
        <v>57</v>
      </c>
      <c r="H63" s="6">
        <v>3.47E-3</v>
      </c>
      <c r="I63">
        <v>0.24</v>
      </c>
      <c r="J63">
        <v>2.11</v>
      </c>
      <c r="K63">
        <v>54.6</v>
      </c>
      <c r="L63">
        <v>32</v>
      </c>
      <c r="M63">
        <v>7.65</v>
      </c>
      <c r="N63">
        <v>50.1</v>
      </c>
      <c r="O63">
        <v>35</v>
      </c>
      <c r="P63">
        <v>6.03</v>
      </c>
      <c r="Q63">
        <v>31.6</v>
      </c>
      <c r="R63">
        <v>47.6</v>
      </c>
      <c r="S63">
        <v>5.9</v>
      </c>
      <c r="T63">
        <v>24.1</v>
      </c>
      <c r="U63">
        <v>24.3</v>
      </c>
      <c r="V63">
        <v>50.9</v>
      </c>
      <c r="W63">
        <v>8.8699999999999992</v>
      </c>
      <c r="X63">
        <v>36</v>
      </c>
      <c r="Y63">
        <v>10.5</v>
      </c>
      <c r="Z63">
        <v>27.9</v>
      </c>
      <c r="AA63">
        <v>25.6</v>
      </c>
      <c r="AB63">
        <v>21.2</v>
      </c>
      <c r="AC63">
        <v>2.52</v>
      </c>
      <c r="AD63">
        <v>3.41</v>
      </c>
      <c r="AE63">
        <v>11.6</v>
      </c>
      <c r="AF63">
        <v>82.4</v>
      </c>
      <c r="AG63">
        <v>19.100000000000001</v>
      </c>
      <c r="AH63">
        <v>3.95</v>
      </c>
      <c r="AI63">
        <v>3.52</v>
      </c>
      <c r="AJ63">
        <v>80.900000000000006</v>
      </c>
      <c r="AK63">
        <v>9.27</v>
      </c>
      <c r="AL63">
        <v>40.1</v>
      </c>
      <c r="AM63">
        <v>21.5</v>
      </c>
      <c r="AN63">
        <v>0.49</v>
      </c>
      <c r="AO63">
        <v>0.7</v>
      </c>
      <c r="AP63">
        <v>6.03</v>
      </c>
      <c r="AQ63">
        <v>2.97</v>
      </c>
      <c r="AR63">
        <v>82.5</v>
      </c>
      <c r="AS63">
        <v>16.7</v>
      </c>
      <c r="AT63">
        <v>0.77</v>
      </c>
      <c r="AU63">
        <v>73.900000000000006</v>
      </c>
      <c r="AV63">
        <v>18.399999999999999</v>
      </c>
      <c r="AW63">
        <v>23.6</v>
      </c>
      <c r="AX63">
        <v>4.17</v>
      </c>
      <c r="AY63">
        <v>64.3</v>
      </c>
      <c r="AZ63">
        <v>0.33</v>
      </c>
      <c r="BA63">
        <v>13.6</v>
      </c>
      <c r="BB63">
        <v>56.4</v>
      </c>
      <c r="BC63">
        <v>80</v>
      </c>
      <c r="BD63">
        <v>0.4</v>
      </c>
      <c r="BE63">
        <v>5.1100000000000003</v>
      </c>
      <c r="BF63">
        <v>12.3</v>
      </c>
      <c r="BG63">
        <v>51.4</v>
      </c>
      <c r="BH63">
        <v>516</v>
      </c>
      <c r="BI63">
        <v>644</v>
      </c>
      <c r="BJ63">
        <v>400</v>
      </c>
      <c r="BK63">
        <v>330</v>
      </c>
      <c r="BL63">
        <v>81.099999999999994</v>
      </c>
      <c r="BM63">
        <v>-7.4</v>
      </c>
    </row>
    <row r="64" spans="1:65" x14ac:dyDescent="0.2">
      <c r="A64" t="s">
        <v>477</v>
      </c>
      <c r="B64">
        <v>23.3</v>
      </c>
      <c r="C64">
        <v>11.7</v>
      </c>
      <c r="D64">
        <v>2.87</v>
      </c>
      <c r="E64">
        <v>27.3</v>
      </c>
      <c r="F64">
        <v>58.2</v>
      </c>
      <c r="G64">
        <v>57.6</v>
      </c>
      <c r="H64">
        <v>1.0999999999999999E-2</v>
      </c>
      <c r="I64">
        <v>1.25</v>
      </c>
      <c r="J64">
        <v>0.62</v>
      </c>
      <c r="K64">
        <v>56.2</v>
      </c>
      <c r="L64">
        <v>42.3</v>
      </c>
      <c r="M64">
        <v>9.34</v>
      </c>
      <c r="N64">
        <v>48.4</v>
      </c>
      <c r="O64">
        <v>32.5</v>
      </c>
      <c r="P64">
        <v>9.25</v>
      </c>
      <c r="Q64">
        <v>32.799999999999997</v>
      </c>
      <c r="R64">
        <v>53.3</v>
      </c>
      <c r="S64">
        <v>5.79</v>
      </c>
      <c r="T64">
        <v>22.2</v>
      </c>
      <c r="U64">
        <v>22</v>
      </c>
      <c r="V64">
        <v>43.4</v>
      </c>
      <c r="W64">
        <v>8.52</v>
      </c>
      <c r="X64">
        <v>30.7</v>
      </c>
      <c r="Y64">
        <v>8.76</v>
      </c>
      <c r="Z64">
        <v>25.5</v>
      </c>
      <c r="AA64">
        <v>35.1</v>
      </c>
      <c r="AB64">
        <v>13</v>
      </c>
      <c r="AC64">
        <v>3.58</v>
      </c>
      <c r="AD64">
        <v>8.15</v>
      </c>
      <c r="AE64">
        <v>45.9</v>
      </c>
      <c r="AF64">
        <v>42.3</v>
      </c>
      <c r="AG64">
        <v>16.3</v>
      </c>
      <c r="AH64">
        <v>6.4</v>
      </c>
      <c r="AI64">
        <v>3.01</v>
      </c>
      <c r="AJ64">
        <v>77.7</v>
      </c>
      <c r="AK64">
        <v>10.6</v>
      </c>
      <c r="AL64">
        <v>21.5</v>
      </c>
      <c r="AM64">
        <v>23.2</v>
      </c>
      <c r="AN64">
        <v>0.41</v>
      </c>
      <c r="AO64">
        <v>0.6</v>
      </c>
      <c r="AP64">
        <v>8.32</v>
      </c>
      <c r="AQ64">
        <v>3.14</v>
      </c>
      <c r="AR64">
        <v>80.2</v>
      </c>
      <c r="AS64">
        <v>18.899999999999999</v>
      </c>
      <c r="AT64">
        <v>0.85</v>
      </c>
      <c r="AU64">
        <v>74</v>
      </c>
      <c r="AV64">
        <v>15.6</v>
      </c>
      <c r="AW64">
        <v>37.1</v>
      </c>
      <c r="AX64">
        <v>6.5</v>
      </c>
      <c r="AY64">
        <v>47.2</v>
      </c>
      <c r="AZ64">
        <v>0.69</v>
      </c>
      <c r="BA64">
        <v>6.25</v>
      </c>
      <c r="BB64">
        <v>35.799999999999997</v>
      </c>
      <c r="BC64">
        <v>74.599999999999994</v>
      </c>
      <c r="BD64">
        <v>0.39</v>
      </c>
      <c r="BE64">
        <v>3.14</v>
      </c>
      <c r="BF64">
        <v>41.5</v>
      </c>
      <c r="BG64">
        <v>-18</v>
      </c>
      <c r="BH64">
        <v>345</v>
      </c>
      <c r="BI64">
        <v>651</v>
      </c>
      <c r="BJ64">
        <v>446</v>
      </c>
      <c r="BK64">
        <v>725</v>
      </c>
      <c r="BL64">
        <v>125</v>
      </c>
      <c r="BM64">
        <v>-41.1</v>
      </c>
    </row>
    <row r="65" spans="1:65" x14ac:dyDescent="0.2">
      <c r="A65" s="4" t="s">
        <v>441</v>
      </c>
      <c r="B65" s="4">
        <v>18.899999999999999</v>
      </c>
      <c r="C65" s="4">
        <v>1.95</v>
      </c>
      <c r="D65" s="4">
        <v>0.35</v>
      </c>
      <c r="E65" s="4">
        <v>38</v>
      </c>
      <c r="F65" s="4">
        <v>59.7</v>
      </c>
      <c r="G65" s="4">
        <v>61.3</v>
      </c>
      <c r="H65" s="4">
        <v>0.15</v>
      </c>
      <c r="I65" s="4">
        <v>1.42</v>
      </c>
      <c r="J65" s="4">
        <v>14.8</v>
      </c>
      <c r="K65" s="4">
        <v>44.9</v>
      </c>
      <c r="L65" s="4">
        <v>28.1</v>
      </c>
      <c r="M65" s="4">
        <v>8.16</v>
      </c>
      <c r="N65" s="4">
        <v>42.9</v>
      </c>
      <c r="O65" s="4">
        <v>29.9</v>
      </c>
      <c r="P65" s="4">
        <v>17</v>
      </c>
      <c r="Q65" s="4">
        <v>39.200000000000003</v>
      </c>
      <c r="R65" s="4">
        <v>54.8</v>
      </c>
      <c r="S65" s="4">
        <v>4.05</v>
      </c>
      <c r="T65" s="4">
        <v>33</v>
      </c>
      <c r="U65" s="4">
        <v>8.19</v>
      </c>
      <c r="V65" s="4">
        <v>43.1</v>
      </c>
      <c r="W65" s="4">
        <v>8.0299999999999994</v>
      </c>
      <c r="X65" s="4">
        <v>53.6</v>
      </c>
      <c r="Y65" s="4">
        <v>1.6</v>
      </c>
      <c r="Z65" s="4">
        <v>38.799999999999997</v>
      </c>
      <c r="AA65" s="4">
        <v>6</v>
      </c>
      <c r="AB65" s="4">
        <v>16.2</v>
      </c>
      <c r="AC65" s="4">
        <v>6.72</v>
      </c>
      <c r="AD65" s="4">
        <v>13.9</v>
      </c>
      <c r="AE65" s="4">
        <v>42.6</v>
      </c>
      <c r="AF65" s="4">
        <v>36.700000000000003</v>
      </c>
      <c r="AG65" s="4">
        <v>20.399999999999999</v>
      </c>
      <c r="AH65" s="4">
        <v>6.48</v>
      </c>
      <c r="AI65" s="4">
        <v>7.49</v>
      </c>
      <c r="AJ65" s="4">
        <v>74.2</v>
      </c>
      <c r="AK65" s="4">
        <v>5.29</v>
      </c>
      <c r="AL65" s="4">
        <v>6.04</v>
      </c>
      <c r="AM65" s="4">
        <v>34.200000000000003</v>
      </c>
      <c r="AN65" s="4">
        <v>1.1299999999999999</v>
      </c>
      <c r="AO65" s="4">
        <v>1.25</v>
      </c>
      <c r="AP65" s="4">
        <v>11.4</v>
      </c>
      <c r="AQ65" s="4">
        <v>16.600000000000001</v>
      </c>
      <c r="AR65" s="4">
        <v>34.4</v>
      </c>
      <c r="AS65" s="4">
        <v>64.2</v>
      </c>
      <c r="AT65" s="4">
        <v>1.28</v>
      </c>
      <c r="AU65" s="4">
        <v>46.9</v>
      </c>
      <c r="AV65" s="4">
        <v>31.1</v>
      </c>
      <c r="AW65" s="4">
        <v>39.700000000000003</v>
      </c>
      <c r="AX65" s="4">
        <v>7.26</v>
      </c>
      <c r="AY65" s="4">
        <v>41.2</v>
      </c>
      <c r="AZ65" s="4">
        <v>4.4400000000000004</v>
      </c>
      <c r="BA65" s="4">
        <v>23.2</v>
      </c>
      <c r="BB65" s="4">
        <v>76.3</v>
      </c>
      <c r="BC65" s="4">
        <v>52.9</v>
      </c>
      <c r="BD65" s="4">
        <v>0.49</v>
      </c>
      <c r="BE65" s="4">
        <v>4.2699999999999996</v>
      </c>
      <c r="BF65" s="4">
        <v>45.7</v>
      </c>
      <c r="BG65" s="4">
        <v>-31.7</v>
      </c>
      <c r="BH65" s="4">
        <v>477</v>
      </c>
      <c r="BI65" s="4">
        <v>453</v>
      </c>
      <c r="BJ65" s="4">
        <v>668</v>
      </c>
      <c r="BK65" s="4">
        <v>334</v>
      </c>
      <c r="BL65" s="4">
        <v>219</v>
      </c>
      <c r="BM65" s="4">
        <v>58.1</v>
      </c>
    </row>
    <row r="66" spans="1:65" x14ac:dyDescent="0.2">
      <c r="A66" s="4" t="s">
        <v>516</v>
      </c>
      <c r="B66" s="4">
        <v>12.5</v>
      </c>
      <c r="C66" s="4">
        <v>2.87</v>
      </c>
      <c r="D66" s="4">
        <v>0.16</v>
      </c>
      <c r="E66" s="4">
        <v>35.700000000000003</v>
      </c>
      <c r="F66" s="4">
        <v>61.3</v>
      </c>
      <c r="G66" s="4">
        <v>61</v>
      </c>
      <c r="H66" s="4">
        <v>0.28999999999999998</v>
      </c>
      <c r="I66" s="4">
        <v>1.18</v>
      </c>
      <c r="J66" s="4">
        <v>2.29</v>
      </c>
      <c r="K66" s="4">
        <v>56.5</v>
      </c>
      <c r="L66" s="4">
        <v>34.4</v>
      </c>
      <c r="M66" s="4">
        <v>5.58</v>
      </c>
      <c r="N66" s="4">
        <v>57</v>
      </c>
      <c r="O66" s="4">
        <v>27.8</v>
      </c>
      <c r="P66" s="4">
        <v>7.67</v>
      </c>
      <c r="Q66" s="4">
        <v>29.7</v>
      </c>
      <c r="R66" s="4">
        <v>36.9</v>
      </c>
      <c r="S66" s="4">
        <v>10.5</v>
      </c>
      <c r="T66" s="4">
        <v>24.5</v>
      </c>
      <c r="U66" s="4">
        <v>28.1</v>
      </c>
      <c r="V66" s="4">
        <v>57.4</v>
      </c>
      <c r="W66" s="4">
        <v>6.2</v>
      </c>
      <c r="X66" s="4">
        <v>45</v>
      </c>
      <c r="Y66" s="4">
        <v>3.67</v>
      </c>
      <c r="Z66" s="4">
        <v>35.299999999999997</v>
      </c>
      <c r="AA66" s="4">
        <v>16</v>
      </c>
      <c r="AB66" s="4">
        <v>11</v>
      </c>
      <c r="AC66" s="4">
        <v>6.91</v>
      </c>
      <c r="AD66" s="4">
        <v>7.25</v>
      </c>
      <c r="AE66" s="4">
        <v>7.89</v>
      </c>
      <c r="AF66" s="4">
        <v>77.900000000000006</v>
      </c>
      <c r="AG66" s="4">
        <v>4.63</v>
      </c>
      <c r="AH66" s="4">
        <v>11.8</v>
      </c>
      <c r="AI66" s="4">
        <v>11.1</v>
      </c>
      <c r="AJ66" s="4">
        <v>40.5</v>
      </c>
      <c r="AK66" s="4">
        <v>13.1</v>
      </c>
      <c r="AL66" s="4">
        <v>9.6999999999999993</v>
      </c>
      <c r="AM66" s="4">
        <v>49.5</v>
      </c>
      <c r="AN66" s="4">
        <v>1.98</v>
      </c>
      <c r="AO66" s="4">
        <v>1.79</v>
      </c>
      <c r="AP66" s="4">
        <v>24.2</v>
      </c>
      <c r="AQ66" s="4">
        <v>9.5399999999999991</v>
      </c>
      <c r="AR66" s="4">
        <v>37.200000000000003</v>
      </c>
      <c r="AS66" s="4">
        <v>59.8</v>
      </c>
      <c r="AT66" s="4">
        <v>2.95</v>
      </c>
      <c r="AU66" s="4">
        <v>42.6</v>
      </c>
      <c r="AV66" s="4">
        <v>27.1</v>
      </c>
      <c r="AW66" s="4">
        <v>20.7</v>
      </c>
      <c r="AX66" s="4">
        <v>6.09</v>
      </c>
      <c r="AY66" s="4">
        <v>64.5</v>
      </c>
      <c r="AZ66" s="4">
        <v>4.21</v>
      </c>
      <c r="BA66" s="4">
        <v>25</v>
      </c>
      <c r="BB66" s="4">
        <v>59.8</v>
      </c>
      <c r="BC66" s="4">
        <v>65.400000000000006</v>
      </c>
      <c r="BD66" s="4">
        <v>1.26</v>
      </c>
      <c r="BE66" s="4">
        <v>8.5299999999999994</v>
      </c>
      <c r="BF66" s="4">
        <v>22</v>
      </c>
      <c r="BG66" s="4">
        <v>-22.7</v>
      </c>
      <c r="BH66" s="4">
        <v>285</v>
      </c>
      <c r="BI66" s="4">
        <v>280</v>
      </c>
      <c r="BJ66" s="4">
        <v>502</v>
      </c>
      <c r="BK66" s="4">
        <v>1000</v>
      </c>
      <c r="BL66" s="4">
        <v>326</v>
      </c>
      <c r="BM66" s="4">
        <v>5.41</v>
      </c>
    </row>
    <row r="67" spans="1:65" x14ac:dyDescent="0.2">
      <c r="A67" s="7" t="s">
        <v>462</v>
      </c>
      <c r="B67" s="7">
        <v>29.5</v>
      </c>
      <c r="C67" s="7">
        <v>11.6</v>
      </c>
      <c r="D67" s="7">
        <v>8.4499999999999993</v>
      </c>
      <c r="E67" s="7">
        <v>14.6</v>
      </c>
      <c r="F67" s="7">
        <v>65.400000000000006</v>
      </c>
      <c r="G67" s="7">
        <v>65</v>
      </c>
      <c r="H67" s="7">
        <v>1.4999999999999999E-2</v>
      </c>
      <c r="I67" s="7">
        <v>0.61</v>
      </c>
      <c r="J67" s="7">
        <v>2.9</v>
      </c>
      <c r="K67" s="7">
        <v>61.5</v>
      </c>
      <c r="L67" s="7">
        <v>18.600000000000001</v>
      </c>
      <c r="M67" s="7">
        <v>4.47</v>
      </c>
      <c r="N67" s="7">
        <v>42.5</v>
      </c>
      <c r="O67" s="7">
        <v>29.6</v>
      </c>
      <c r="P67" s="7">
        <v>22.4</v>
      </c>
      <c r="Q67" s="7">
        <v>48.2</v>
      </c>
      <c r="R67" s="7">
        <v>75.599999999999994</v>
      </c>
      <c r="S67" s="7">
        <v>1.4</v>
      </c>
      <c r="T67" s="7">
        <v>18.899999999999999</v>
      </c>
      <c r="U67" s="7">
        <v>6.96</v>
      </c>
      <c r="V67" s="7">
        <v>40.1</v>
      </c>
      <c r="W67" s="7">
        <v>2.85</v>
      </c>
      <c r="X67" s="7">
        <v>50</v>
      </c>
      <c r="Y67" s="7">
        <v>1.51</v>
      </c>
      <c r="Z67" s="7">
        <v>39</v>
      </c>
      <c r="AA67" s="7">
        <v>9.48</v>
      </c>
      <c r="AB67" s="7">
        <v>39</v>
      </c>
      <c r="AC67" s="7">
        <v>3.8</v>
      </c>
      <c r="AD67" s="7">
        <v>31.1</v>
      </c>
      <c r="AE67" s="7">
        <v>33.5</v>
      </c>
      <c r="AF67" s="7">
        <v>31.6</v>
      </c>
      <c r="AG67" s="31">
        <v>2.8999999999999998E-3</v>
      </c>
      <c r="AH67" s="7">
        <v>0</v>
      </c>
      <c r="AI67" s="7">
        <v>0</v>
      </c>
      <c r="AJ67" s="7">
        <v>100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50</v>
      </c>
      <c r="AS67" s="7">
        <v>0</v>
      </c>
      <c r="AT67" s="7">
        <v>50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2.2400000000000002</v>
      </c>
      <c r="BA67" s="7">
        <v>29.3</v>
      </c>
      <c r="BB67" s="7">
        <v>63.8</v>
      </c>
      <c r="BC67" s="7">
        <v>78.400000000000006</v>
      </c>
      <c r="BD67" s="7">
        <v>0.75</v>
      </c>
      <c r="BE67" s="7">
        <v>8.8000000000000007</v>
      </c>
      <c r="BF67" s="7">
        <v>33.700000000000003</v>
      </c>
      <c r="BG67" s="7">
        <v>303</v>
      </c>
      <c r="BH67" s="7">
        <v>2205</v>
      </c>
      <c r="BI67" s="7">
        <v>974</v>
      </c>
      <c r="BJ67" s="7">
        <v>1808</v>
      </c>
      <c r="BK67" s="7">
        <v>1932</v>
      </c>
      <c r="BL67" s="7">
        <v>924</v>
      </c>
      <c r="BM67" s="7">
        <v>81.900000000000006</v>
      </c>
    </row>
    <row r="68" spans="1:65" x14ac:dyDescent="0.2">
      <c r="A68" t="s">
        <v>476</v>
      </c>
      <c r="B68">
        <v>16</v>
      </c>
      <c r="C68">
        <v>4.1399999999999997</v>
      </c>
      <c r="D68">
        <v>6.8000000000000005E-2</v>
      </c>
      <c r="E68">
        <v>36.4</v>
      </c>
      <c r="F68">
        <v>59.4</v>
      </c>
      <c r="G68">
        <v>64.400000000000006</v>
      </c>
      <c r="H68">
        <v>1.4E-2</v>
      </c>
      <c r="I68">
        <v>0.15</v>
      </c>
      <c r="J68">
        <v>2.41</v>
      </c>
      <c r="K68">
        <v>61.9</v>
      </c>
      <c r="L68">
        <v>22.4</v>
      </c>
      <c r="M68">
        <v>7.17</v>
      </c>
      <c r="N68">
        <v>60.1</v>
      </c>
      <c r="O68">
        <v>21.1</v>
      </c>
      <c r="P68">
        <v>11.5</v>
      </c>
      <c r="Q68">
        <v>27.8</v>
      </c>
      <c r="R68">
        <v>77.2</v>
      </c>
      <c r="S68">
        <v>1.21</v>
      </c>
      <c r="T68">
        <v>16.100000000000001</v>
      </c>
      <c r="U68">
        <v>7.03</v>
      </c>
      <c r="V68">
        <v>59.8</v>
      </c>
      <c r="W68">
        <v>4.47</v>
      </c>
      <c r="X68">
        <v>49.7</v>
      </c>
      <c r="Y68">
        <v>1.22</v>
      </c>
      <c r="Z68">
        <v>41.1</v>
      </c>
      <c r="AA68">
        <v>7.98</v>
      </c>
      <c r="AB68">
        <v>37.6</v>
      </c>
      <c r="AC68">
        <v>1.74</v>
      </c>
      <c r="AD68">
        <v>14.8</v>
      </c>
      <c r="AE68">
        <v>13.2</v>
      </c>
      <c r="AF68">
        <v>70.3</v>
      </c>
      <c r="AG68">
        <v>15</v>
      </c>
      <c r="AH68">
        <v>13.3</v>
      </c>
      <c r="AI68">
        <v>4.05</v>
      </c>
      <c r="AJ68">
        <v>53.7</v>
      </c>
      <c r="AK68">
        <v>25.1</v>
      </c>
      <c r="AL68">
        <v>31.4</v>
      </c>
      <c r="AM68">
        <v>11.3</v>
      </c>
      <c r="AN68">
        <v>0.56000000000000005</v>
      </c>
      <c r="AO68">
        <v>0.3</v>
      </c>
      <c r="AP68">
        <v>2.9</v>
      </c>
      <c r="AQ68">
        <v>1.01</v>
      </c>
      <c r="AR68">
        <v>84.7</v>
      </c>
      <c r="AS68">
        <v>14.7</v>
      </c>
      <c r="AT68">
        <v>0.64</v>
      </c>
      <c r="AU68">
        <v>79.8</v>
      </c>
      <c r="AV68">
        <v>17.100000000000001</v>
      </c>
      <c r="AW68">
        <v>33.299999999999997</v>
      </c>
      <c r="AX68">
        <v>4.12</v>
      </c>
      <c r="AY68">
        <v>49.4</v>
      </c>
      <c r="AZ68">
        <v>0.22</v>
      </c>
      <c r="BA68">
        <v>11.9</v>
      </c>
      <c r="BB68">
        <v>65.599999999999994</v>
      </c>
      <c r="BC68">
        <v>68.099999999999994</v>
      </c>
      <c r="BD68">
        <v>0.14000000000000001</v>
      </c>
      <c r="BE68">
        <v>2.2200000000000002</v>
      </c>
      <c r="BF68">
        <v>19.5</v>
      </c>
      <c r="BG68">
        <v>32</v>
      </c>
      <c r="BH68">
        <v>698</v>
      </c>
      <c r="BI68">
        <v>881</v>
      </c>
      <c r="BJ68">
        <v>735</v>
      </c>
      <c r="BK68">
        <v>1099</v>
      </c>
      <c r="BL68">
        <v>574</v>
      </c>
      <c r="BM68">
        <v>-11.2</v>
      </c>
    </row>
    <row r="69" spans="1:65" x14ac:dyDescent="0.2">
      <c r="A69" s="4" t="s">
        <v>442</v>
      </c>
      <c r="B69" s="4">
        <v>21</v>
      </c>
      <c r="C69" s="4">
        <v>2.11</v>
      </c>
      <c r="D69" s="4">
        <v>5.0999999999999997E-2</v>
      </c>
      <c r="E69" s="4">
        <v>29.6</v>
      </c>
      <c r="F69" s="4">
        <v>68.2</v>
      </c>
      <c r="G69" s="4">
        <v>71</v>
      </c>
      <c r="H69" s="4">
        <v>0.32</v>
      </c>
      <c r="I69" s="4">
        <v>1.57</v>
      </c>
      <c r="J69" s="4">
        <v>0.94</v>
      </c>
      <c r="K69" s="4">
        <v>67.8</v>
      </c>
      <c r="L69" s="4">
        <v>48.6</v>
      </c>
      <c r="M69" s="4">
        <v>9.3800000000000008</v>
      </c>
      <c r="N69" s="4">
        <v>69.099999999999994</v>
      </c>
      <c r="O69" s="4">
        <v>17.2</v>
      </c>
      <c r="P69" s="4">
        <v>3.49</v>
      </c>
      <c r="Q69" s="4">
        <v>19.399999999999999</v>
      </c>
      <c r="R69" s="4">
        <v>55.1</v>
      </c>
      <c r="S69" s="4">
        <v>8.7799999999999994</v>
      </c>
      <c r="T69" s="4">
        <v>17.2</v>
      </c>
      <c r="U69" s="4">
        <v>19</v>
      </c>
      <c r="V69" s="4">
        <v>69.3</v>
      </c>
      <c r="W69" s="4">
        <v>1.64</v>
      </c>
      <c r="X69" s="4">
        <v>46.6</v>
      </c>
      <c r="Y69" s="4">
        <v>4.25</v>
      </c>
      <c r="Z69" s="4">
        <v>22.4</v>
      </c>
      <c r="AA69" s="4">
        <v>26.7</v>
      </c>
      <c r="AB69" s="4">
        <v>16.8</v>
      </c>
      <c r="AC69" s="4">
        <v>7.01</v>
      </c>
      <c r="AD69" s="4">
        <v>13.1</v>
      </c>
      <c r="AE69" s="4">
        <v>30.1</v>
      </c>
      <c r="AF69" s="4">
        <v>49.7</v>
      </c>
      <c r="AG69" s="4">
        <v>7.81</v>
      </c>
      <c r="AH69" s="4">
        <v>7.91</v>
      </c>
      <c r="AI69" s="4">
        <v>61.6</v>
      </c>
      <c r="AJ69" s="4">
        <v>20</v>
      </c>
      <c r="AK69" s="4">
        <v>1.55</v>
      </c>
      <c r="AL69" s="4">
        <v>1.84</v>
      </c>
      <c r="AM69" s="4">
        <v>5.78</v>
      </c>
      <c r="AN69" s="4">
        <v>0.91</v>
      </c>
      <c r="AO69" s="4">
        <v>2.81</v>
      </c>
      <c r="AP69" s="4">
        <v>44.9</v>
      </c>
      <c r="AQ69" s="4">
        <v>29</v>
      </c>
      <c r="AR69" s="4">
        <v>57.9</v>
      </c>
      <c r="AS69" s="4">
        <v>38.299999999999997</v>
      </c>
      <c r="AT69" s="4">
        <v>3.58</v>
      </c>
      <c r="AU69" s="4">
        <v>15.4</v>
      </c>
      <c r="AV69" s="4">
        <v>7.83</v>
      </c>
      <c r="AW69" s="4">
        <v>77.8</v>
      </c>
      <c r="AX69" s="4">
        <v>5.44</v>
      </c>
      <c r="AY69" s="4">
        <v>8.98</v>
      </c>
      <c r="AZ69" s="4">
        <v>3.64</v>
      </c>
      <c r="BA69" s="4">
        <v>18.2</v>
      </c>
      <c r="BB69" s="4">
        <v>66.3</v>
      </c>
      <c r="BC69" s="4">
        <v>75.599999999999994</v>
      </c>
      <c r="BD69" s="4">
        <v>0.59</v>
      </c>
      <c r="BE69" s="4">
        <v>2.1800000000000002</v>
      </c>
      <c r="BF69" s="4">
        <v>6.91</v>
      </c>
      <c r="BG69" s="4">
        <v>-52</v>
      </c>
      <c r="BH69" s="4">
        <v>262</v>
      </c>
      <c r="BI69" s="4">
        <v>316</v>
      </c>
      <c r="BJ69" s="4">
        <v>400</v>
      </c>
      <c r="BK69" s="4">
        <v>819</v>
      </c>
      <c r="BL69" s="4">
        <v>464</v>
      </c>
      <c r="BM69" s="4">
        <v>21.2</v>
      </c>
    </row>
    <row r="70" spans="1:65" x14ac:dyDescent="0.2">
      <c r="A70" s="7" t="s">
        <v>475</v>
      </c>
      <c r="B70" s="7">
        <v>5.56</v>
      </c>
      <c r="C70" s="7">
        <v>4.8600000000000003</v>
      </c>
      <c r="D70" s="7">
        <v>1.9E-2</v>
      </c>
      <c r="E70" s="7">
        <v>47.6</v>
      </c>
      <c r="F70" s="7">
        <v>47.5</v>
      </c>
      <c r="G70" s="7">
        <v>47.7</v>
      </c>
      <c r="H70" s="7">
        <v>2.5000000000000001E-2</v>
      </c>
      <c r="I70" s="7">
        <v>0.62</v>
      </c>
      <c r="J70" s="7">
        <v>0.23</v>
      </c>
      <c r="K70" s="7">
        <v>47.1</v>
      </c>
      <c r="L70" s="7">
        <v>25</v>
      </c>
      <c r="M70" s="7">
        <v>6.59</v>
      </c>
      <c r="N70" s="7">
        <v>25.2</v>
      </c>
      <c r="O70" s="7">
        <v>55.8</v>
      </c>
      <c r="P70" s="7">
        <v>9.86</v>
      </c>
      <c r="Q70" s="7">
        <v>53.4</v>
      </c>
      <c r="R70" s="7">
        <v>32</v>
      </c>
      <c r="S70" s="7">
        <v>21.8</v>
      </c>
      <c r="T70" s="7">
        <v>14.6</v>
      </c>
      <c r="U70" s="7">
        <v>19.100000000000001</v>
      </c>
      <c r="V70" s="7">
        <v>27.2</v>
      </c>
      <c r="W70" s="7">
        <v>11.9</v>
      </c>
      <c r="X70" s="7">
        <v>29.5</v>
      </c>
      <c r="Y70" s="7">
        <v>13.5</v>
      </c>
      <c r="Z70" s="7">
        <v>37.799999999999997</v>
      </c>
      <c r="AA70" s="7">
        <v>19.2</v>
      </c>
      <c r="AB70" s="7">
        <v>20.9</v>
      </c>
      <c r="AC70" s="7">
        <v>10.4</v>
      </c>
      <c r="AD70" s="7">
        <v>27.8</v>
      </c>
      <c r="AE70" s="7">
        <v>34.200000000000003</v>
      </c>
      <c r="AF70" s="7">
        <v>27.6</v>
      </c>
      <c r="AG70" s="7">
        <v>43</v>
      </c>
      <c r="AH70" s="7">
        <v>2.29</v>
      </c>
      <c r="AI70" s="7">
        <v>5.54</v>
      </c>
      <c r="AJ70" s="7">
        <v>81</v>
      </c>
      <c r="AK70" s="7">
        <v>10.4</v>
      </c>
      <c r="AL70" s="7">
        <v>3.15</v>
      </c>
      <c r="AM70" s="7">
        <v>27</v>
      </c>
      <c r="AN70" s="7">
        <v>0.23</v>
      </c>
      <c r="AO70" s="7">
        <v>0.5</v>
      </c>
      <c r="AP70" s="7">
        <v>2.21</v>
      </c>
      <c r="AQ70" s="7">
        <v>0.59</v>
      </c>
      <c r="AR70" s="7">
        <v>81.400000000000006</v>
      </c>
      <c r="AS70" s="7">
        <v>18.100000000000001</v>
      </c>
      <c r="AT70" s="7">
        <v>0.46</v>
      </c>
      <c r="AU70" s="7">
        <v>86.9</v>
      </c>
      <c r="AV70" s="7">
        <v>11.3</v>
      </c>
      <c r="AW70" s="7">
        <v>57.4</v>
      </c>
      <c r="AX70" s="7">
        <v>2.7</v>
      </c>
      <c r="AY70" s="7">
        <v>28.8</v>
      </c>
      <c r="AZ70" s="7">
        <v>1.85</v>
      </c>
      <c r="BA70" s="7">
        <v>10.3</v>
      </c>
      <c r="BB70" s="7">
        <v>76.900000000000006</v>
      </c>
      <c r="BC70" s="7">
        <v>80.400000000000006</v>
      </c>
      <c r="BD70" s="7">
        <v>7.93</v>
      </c>
      <c r="BE70" s="7">
        <v>4.8499999999999996</v>
      </c>
      <c r="BF70" s="7">
        <v>16.100000000000001</v>
      </c>
      <c r="BG70" s="7">
        <v>-54.2</v>
      </c>
      <c r="BH70" s="7">
        <v>356</v>
      </c>
      <c r="BI70" s="7">
        <v>322</v>
      </c>
      <c r="BJ70" s="7">
        <v>379</v>
      </c>
      <c r="BK70" s="7">
        <v>473</v>
      </c>
      <c r="BL70" s="7">
        <v>170</v>
      </c>
      <c r="BM70" s="7">
        <v>-11.5</v>
      </c>
    </row>
    <row r="71" spans="1:65" x14ac:dyDescent="0.2">
      <c r="A71" t="s">
        <v>413</v>
      </c>
      <c r="B71">
        <v>2.0099999999999998</v>
      </c>
      <c r="C71">
        <v>12.9</v>
      </c>
      <c r="D71">
        <v>5.6000000000000001E-2</v>
      </c>
      <c r="E71">
        <v>59</v>
      </c>
      <c r="F71">
        <v>28</v>
      </c>
      <c r="G71">
        <v>68.3</v>
      </c>
      <c r="H71" s="6">
        <v>5.2900000000000004E-3</v>
      </c>
      <c r="I71">
        <v>1.26</v>
      </c>
      <c r="J71">
        <v>5.83</v>
      </c>
      <c r="K71">
        <v>61.6</v>
      </c>
      <c r="L71">
        <v>32.799999999999997</v>
      </c>
      <c r="M71">
        <v>11.9</v>
      </c>
      <c r="N71">
        <v>42.3</v>
      </c>
      <c r="O71">
        <v>21.5</v>
      </c>
      <c r="P71">
        <v>22.9</v>
      </c>
      <c r="Q71">
        <v>38.4</v>
      </c>
      <c r="R71">
        <v>63.7</v>
      </c>
      <c r="S71">
        <v>2.39</v>
      </c>
      <c r="T71">
        <v>27.1</v>
      </c>
      <c r="U71">
        <v>4.05</v>
      </c>
      <c r="V71">
        <v>42</v>
      </c>
      <c r="W71">
        <v>6.98</v>
      </c>
      <c r="X71">
        <v>48.8</v>
      </c>
      <c r="Y71">
        <v>0.42</v>
      </c>
      <c r="Z71">
        <v>49.8</v>
      </c>
      <c r="AA71">
        <v>0.96</v>
      </c>
      <c r="AB71">
        <v>27.5</v>
      </c>
      <c r="AC71">
        <v>2.19</v>
      </c>
      <c r="AD71">
        <v>23.2</v>
      </c>
      <c r="AE71">
        <v>23.1</v>
      </c>
      <c r="AF71">
        <v>51.4</v>
      </c>
      <c r="AG71">
        <v>26.7</v>
      </c>
      <c r="AH71">
        <v>9.2100000000000009</v>
      </c>
      <c r="AI71">
        <v>13</v>
      </c>
      <c r="AJ71">
        <v>69.2</v>
      </c>
      <c r="AK71">
        <v>6.54</v>
      </c>
      <c r="AL71">
        <v>10.5</v>
      </c>
      <c r="AM71">
        <v>37.5</v>
      </c>
      <c r="AN71">
        <v>0.4</v>
      </c>
      <c r="AO71">
        <v>2.0099999999999998</v>
      </c>
      <c r="AP71">
        <v>2.72</v>
      </c>
      <c r="AQ71">
        <v>2.4700000000000002</v>
      </c>
      <c r="AR71">
        <v>94.6</v>
      </c>
      <c r="AS71">
        <v>3.11</v>
      </c>
      <c r="AT71">
        <v>1.1499999999999999</v>
      </c>
      <c r="AU71">
        <v>95.6</v>
      </c>
      <c r="AV71">
        <v>0.34</v>
      </c>
      <c r="AW71">
        <v>35</v>
      </c>
      <c r="AX71">
        <v>9.76</v>
      </c>
      <c r="AY71">
        <v>47.8</v>
      </c>
      <c r="AZ71">
        <v>0.82</v>
      </c>
      <c r="BA71">
        <v>18.8</v>
      </c>
      <c r="BB71">
        <v>64.2</v>
      </c>
      <c r="BC71">
        <v>66.099999999999994</v>
      </c>
      <c r="BD71">
        <v>0.2</v>
      </c>
      <c r="BE71">
        <v>3.93</v>
      </c>
      <c r="BF71">
        <v>26.2</v>
      </c>
      <c r="BG71">
        <v>36.200000000000003</v>
      </c>
      <c r="BH71">
        <v>842</v>
      </c>
      <c r="BI71">
        <v>917</v>
      </c>
      <c r="BJ71">
        <v>628</v>
      </c>
      <c r="BK71">
        <v>907</v>
      </c>
      <c r="BL71">
        <v>291</v>
      </c>
      <c r="BM71">
        <v>0.7</v>
      </c>
    </row>
    <row r="72" spans="1:65" x14ac:dyDescent="0.2">
      <c r="A72" t="s">
        <v>414</v>
      </c>
      <c r="B72">
        <v>3.49</v>
      </c>
      <c r="C72">
        <v>20.9</v>
      </c>
      <c r="D72">
        <v>0.7</v>
      </c>
      <c r="E72">
        <v>56.3</v>
      </c>
      <c r="F72">
        <v>22.1</v>
      </c>
      <c r="G72">
        <v>88.1</v>
      </c>
      <c r="H72">
        <v>1.2999999999999999E-2</v>
      </c>
      <c r="I72">
        <v>0.4</v>
      </c>
      <c r="J72">
        <v>2.89</v>
      </c>
      <c r="K72">
        <v>84.8</v>
      </c>
      <c r="L72">
        <v>33.1</v>
      </c>
      <c r="M72">
        <v>4.79</v>
      </c>
      <c r="N72">
        <v>38.4</v>
      </c>
      <c r="O72">
        <v>16</v>
      </c>
      <c r="P72">
        <v>38.700000000000003</v>
      </c>
      <c r="Q72">
        <v>51.4</v>
      </c>
      <c r="R72">
        <v>68</v>
      </c>
      <c r="S72">
        <v>0.79</v>
      </c>
      <c r="T72">
        <v>29.8</v>
      </c>
      <c r="U72">
        <v>1.72</v>
      </c>
      <c r="V72">
        <v>34.200000000000003</v>
      </c>
      <c r="W72">
        <v>4.8</v>
      </c>
      <c r="X72">
        <v>43.4</v>
      </c>
      <c r="Y72">
        <v>0.34</v>
      </c>
      <c r="Z72">
        <v>53</v>
      </c>
      <c r="AA72">
        <v>3.21</v>
      </c>
      <c r="AB72">
        <v>50.6</v>
      </c>
      <c r="AC72">
        <v>1.35</v>
      </c>
      <c r="AD72">
        <v>17.8</v>
      </c>
      <c r="AE72">
        <v>50.6</v>
      </c>
      <c r="AF72">
        <v>30.1</v>
      </c>
      <c r="AG72">
        <v>7.1</v>
      </c>
      <c r="AH72">
        <v>19.8</v>
      </c>
      <c r="AI72">
        <v>15.9</v>
      </c>
      <c r="AJ72">
        <v>51.7</v>
      </c>
      <c r="AK72">
        <v>7.59</v>
      </c>
      <c r="AL72">
        <v>14</v>
      </c>
      <c r="AM72">
        <v>34.799999999999997</v>
      </c>
      <c r="AN72">
        <v>2.5099999999999998</v>
      </c>
      <c r="AO72">
        <v>1.51</v>
      </c>
      <c r="AP72">
        <v>9.4</v>
      </c>
      <c r="AQ72">
        <v>3.04</v>
      </c>
      <c r="AR72">
        <v>97.9</v>
      </c>
      <c r="AS72">
        <v>0.08</v>
      </c>
      <c r="AT72">
        <v>0.52</v>
      </c>
      <c r="AU72">
        <v>95.1</v>
      </c>
      <c r="AV72">
        <v>4.4999999999999998E-2</v>
      </c>
      <c r="AW72">
        <v>25.1</v>
      </c>
      <c r="AX72">
        <v>28.2</v>
      </c>
      <c r="AY72">
        <v>43.4</v>
      </c>
      <c r="AZ72">
        <v>2.67</v>
      </c>
      <c r="BA72">
        <v>20.5</v>
      </c>
      <c r="BB72">
        <v>84.3</v>
      </c>
      <c r="BC72">
        <v>78</v>
      </c>
      <c r="BD72">
        <v>0.38</v>
      </c>
      <c r="BE72">
        <v>3.27</v>
      </c>
      <c r="BF72">
        <v>60.9</v>
      </c>
      <c r="BG72">
        <v>140</v>
      </c>
      <c r="BH72">
        <v>631</v>
      </c>
      <c r="BI72">
        <v>754</v>
      </c>
      <c r="BJ72">
        <v>515</v>
      </c>
      <c r="BK72">
        <v>500</v>
      </c>
      <c r="BL72">
        <v>171</v>
      </c>
      <c r="BM72">
        <v>43.9</v>
      </c>
    </row>
    <row r="73" spans="1:65" x14ac:dyDescent="0.2">
      <c r="A73" t="s">
        <v>489</v>
      </c>
      <c r="B73">
        <v>26.8</v>
      </c>
      <c r="C73">
        <v>17</v>
      </c>
      <c r="D73">
        <v>0.92</v>
      </c>
      <c r="E73">
        <v>53.2</v>
      </c>
      <c r="F73">
        <v>28.9</v>
      </c>
      <c r="G73">
        <v>57.9</v>
      </c>
      <c r="H73" s="6">
        <v>4.47E-3</v>
      </c>
      <c r="I73">
        <v>0.43</v>
      </c>
      <c r="J73">
        <v>0.5</v>
      </c>
      <c r="K73">
        <v>56.8</v>
      </c>
      <c r="L73">
        <v>38.299999999999997</v>
      </c>
      <c r="M73">
        <v>13.2</v>
      </c>
      <c r="N73">
        <v>13.1</v>
      </c>
      <c r="O73">
        <v>49.6</v>
      </c>
      <c r="P73">
        <v>22.6</v>
      </c>
      <c r="Q73">
        <v>68.2</v>
      </c>
      <c r="R73">
        <v>81.8</v>
      </c>
      <c r="S73">
        <v>0.75</v>
      </c>
      <c r="T73">
        <v>29.5</v>
      </c>
      <c r="U73">
        <v>4.5199999999999996</v>
      </c>
      <c r="V73">
        <v>6.7</v>
      </c>
      <c r="W73">
        <v>4.83</v>
      </c>
      <c r="X73">
        <v>60.3</v>
      </c>
      <c r="Y73">
        <v>1.01</v>
      </c>
      <c r="Z73">
        <v>33.1</v>
      </c>
      <c r="AA73">
        <v>5.55</v>
      </c>
      <c r="AB73">
        <v>15.5</v>
      </c>
      <c r="AC73">
        <v>8.26</v>
      </c>
      <c r="AD73">
        <v>30.7</v>
      </c>
      <c r="AE73">
        <v>55.5</v>
      </c>
      <c r="AF73">
        <v>5.42</v>
      </c>
      <c r="AG73">
        <v>10.1</v>
      </c>
      <c r="AH73">
        <v>10.199999999999999</v>
      </c>
      <c r="AI73">
        <v>9.74</v>
      </c>
      <c r="AJ73">
        <v>47.4</v>
      </c>
      <c r="AK73">
        <v>30</v>
      </c>
      <c r="AL73">
        <v>24.1</v>
      </c>
      <c r="AM73">
        <v>41.2</v>
      </c>
      <c r="AN73">
        <v>2.27</v>
      </c>
      <c r="AO73">
        <v>1.2</v>
      </c>
      <c r="AP73">
        <v>1.79</v>
      </c>
      <c r="AQ73">
        <v>0.7</v>
      </c>
      <c r="AR73">
        <v>83.9</v>
      </c>
      <c r="AS73">
        <v>12.9</v>
      </c>
      <c r="AT73">
        <v>3.04</v>
      </c>
      <c r="AU73">
        <v>95.5</v>
      </c>
      <c r="AV73">
        <v>2.68</v>
      </c>
      <c r="AW73">
        <v>13.8</v>
      </c>
      <c r="AX73">
        <v>9.61</v>
      </c>
      <c r="AY73">
        <v>70.900000000000006</v>
      </c>
      <c r="AZ73">
        <v>5.81</v>
      </c>
      <c r="BA73">
        <v>3.12</v>
      </c>
      <c r="BB73">
        <v>35.6</v>
      </c>
      <c r="BC73">
        <v>86.2</v>
      </c>
      <c r="BD73">
        <v>1.9</v>
      </c>
      <c r="BE73">
        <v>4.6500000000000004</v>
      </c>
      <c r="BF73">
        <v>53</v>
      </c>
      <c r="BG73">
        <v>548</v>
      </c>
      <c r="BH73">
        <v>544</v>
      </c>
      <c r="BI73">
        <v>695</v>
      </c>
      <c r="BJ73">
        <v>334</v>
      </c>
      <c r="BK73">
        <v>731</v>
      </c>
      <c r="BL73">
        <v>170</v>
      </c>
      <c r="BM73">
        <v>234</v>
      </c>
    </row>
    <row r="74" spans="1:65" x14ac:dyDescent="0.2">
      <c r="A74" s="21" t="s">
        <v>453</v>
      </c>
      <c r="B74" s="21">
        <v>10.4</v>
      </c>
      <c r="C74" s="21">
        <v>7.92</v>
      </c>
      <c r="D74" s="21">
        <v>0.24</v>
      </c>
      <c r="E74" s="21">
        <v>47.2</v>
      </c>
      <c r="F74" s="21">
        <v>44.7</v>
      </c>
      <c r="G74" s="21">
        <v>86.1</v>
      </c>
      <c r="H74" s="21">
        <v>0.03</v>
      </c>
      <c r="I74" s="21">
        <v>0.49</v>
      </c>
      <c r="J74" s="21">
        <v>4.8600000000000003</v>
      </c>
      <c r="K74" s="21">
        <v>80.5</v>
      </c>
      <c r="L74" s="21">
        <v>40.799999999999997</v>
      </c>
      <c r="M74" s="21">
        <v>5.81</v>
      </c>
      <c r="N74" s="21">
        <v>68.400000000000006</v>
      </c>
      <c r="O74" s="21">
        <v>16.2</v>
      </c>
      <c r="P74" s="21">
        <v>8.5399999999999991</v>
      </c>
      <c r="Q74" s="21">
        <v>23.7</v>
      </c>
      <c r="R74" s="21">
        <v>35.4</v>
      </c>
      <c r="S74" s="21">
        <v>15.7</v>
      </c>
      <c r="T74" s="21">
        <v>13</v>
      </c>
      <c r="U74" s="21">
        <v>18.3</v>
      </c>
      <c r="V74" s="21">
        <v>67.7</v>
      </c>
      <c r="W74" s="21">
        <v>1.78</v>
      </c>
      <c r="X74" s="21">
        <v>24.4</v>
      </c>
      <c r="Y74" s="21">
        <v>14.2</v>
      </c>
      <c r="Z74" s="21">
        <v>40.299999999999997</v>
      </c>
      <c r="AA74" s="21">
        <v>21.1</v>
      </c>
      <c r="AB74" s="21">
        <v>37.799999999999997</v>
      </c>
      <c r="AC74" s="21">
        <v>2.1800000000000002</v>
      </c>
      <c r="AD74" s="21">
        <v>26.3</v>
      </c>
      <c r="AE74" s="21">
        <v>22</v>
      </c>
      <c r="AF74" s="21">
        <v>49.5</v>
      </c>
      <c r="AG74" s="21">
        <v>1.1599999999999999</v>
      </c>
      <c r="AH74" s="21">
        <v>9.44</v>
      </c>
      <c r="AI74" s="21">
        <v>20.399999999999999</v>
      </c>
      <c r="AJ74" s="21">
        <v>57.5</v>
      </c>
      <c r="AK74" s="21">
        <v>9.59</v>
      </c>
      <c r="AL74" s="21">
        <v>51.4</v>
      </c>
      <c r="AM74" s="21">
        <v>25.5</v>
      </c>
      <c r="AN74" s="21">
        <v>52.4</v>
      </c>
      <c r="AO74" s="21">
        <v>1.22</v>
      </c>
      <c r="AP74" s="21">
        <v>84.7</v>
      </c>
      <c r="AQ74" s="21">
        <v>0</v>
      </c>
      <c r="AR74" s="21">
        <v>93.1</v>
      </c>
      <c r="AS74" s="21">
        <v>0.2</v>
      </c>
      <c r="AT74" s="21">
        <v>0.97</v>
      </c>
      <c r="AU74" s="21">
        <v>94.2</v>
      </c>
      <c r="AV74" s="21">
        <v>0</v>
      </c>
      <c r="AW74" s="21">
        <v>15.9</v>
      </c>
      <c r="AX74" s="21">
        <v>61.7</v>
      </c>
      <c r="AY74" s="21">
        <v>21.7</v>
      </c>
      <c r="AZ74" s="21">
        <v>0.3</v>
      </c>
      <c r="BA74" s="21">
        <v>7.32</v>
      </c>
      <c r="BB74" s="21">
        <v>50</v>
      </c>
      <c r="BC74" s="21">
        <v>39.1</v>
      </c>
      <c r="BD74" s="21">
        <v>0.28000000000000003</v>
      </c>
      <c r="BE74" s="21">
        <v>5.78</v>
      </c>
      <c r="BF74" s="21">
        <v>14.3</v>
      </c>
      <c r="BG74" s="21">
        <v>-91.8</v>
      </c>
      <c r="BH74" s="21">
        <v>265</v>
      </c>
      <c r="BI74" s="21">
        <v>278</v>
      </c>
      <c r="BJ74" s="21">
        <v>358</v>
      </c>
      <c r="BK74" s="21">
        <v>1098</v>
      </c>
      <c r="BL74" s="21">
        <v>466</v>
      </c>
      <c r="BM74" s="21">
        <v>5.52</v>
      </c>
    </row>
    <row r="75" spans="1:65" x14ac:dyDescent="0.2">
      <c r="A75" s="4" t="s">
        <v>457</v>
      </c>
      <c r="B75" s="4">
        <v>35.700000000000003</v>
      </c>
      <c r="C75" s="4">
        <v>1.45</v>
      </c>
      <c r="D75" s="4">
        <v>1.04</v>
      </c>
      <c r="E75" s="4">
        <v>26.4</v>
      </c>
      <c r="F75" s="4">
        <v>70.8</v>
      </c>
      <c r="G75" s="4">
        <v>47.2</v>
      </c>
      <c r="H75" s="4">
        <v>6.6000000000000003E-2</v>
      </c>
      <c r="I75" s="4">
        <v>4.72</v>
      </c>
      <c r="J75" s="4">
        <v>0.74</v>
      </c>
      <c r="K75" s="4">
        <v>44</v>
      </c>
      <c r="L75" s="4">
        <v>34</v>
      </c>
      <c r="M75" s="4">
        <v>12.6</v>
      </c>
      <c r="N75" s="4">
        <v>40.5</v>
      </c>
      <c r="O75" s="4">
        <v>33.6</v>
      </c>
      <c r="P75" s="4">
        <v>9.9600000000000009</v>
      </c>
      <c r="Q75" s="4">
        <v>35.200000000000003</v>
      </c>
      <c r="R75" s="4">
        <v>51.3</v>
      </c>
      <c r="S75" s="4">
        <v>4.82</v>
      </c>
      <c r="T75" s="4">
        <v>36.299999999999997</v>
      </c>
      <c r="U75" s="4">
        <v>7.62</v>
      </c>
      <c r="V75" s="4">
        <v>38.1</v>
      </c>
      <c r="W75" s="4">
        <v>8.08</v>
      </c>
      <c r="X75" s="4">
        <v>45</v>
      </c>
      <c r="Y75" s="4">
        <v>5.36</v>
      </c>
      <c r="Z75" s="4">
        <v>40</v>
      </c>
      <c r="AA75" s="4">
        <v>9.66</v>
      </c>
      <c r="AB75" s="4">
        <v>8.57</v>
      </c>
      <c r="AC75" s="4">
        <v>10.199999999999999</v>
      </c>
      <c r="AD75" s="4">
        <v>9.33</v>
      </c>
      <c r="AE75" s="4">
        <v>52</v>
      </c>
      <c r="AF75" s="4">
        <v>22</v>
      </c>
      <c r="AG75" s="4">
        <v>3.88</v>
      </c>
      <c r="AH75" s="4">
        <v>7.42</v>
      </c>
      <c r="AI75" s="4">
        <v>6.77</v>
      </c>
      <c r="AJ75" s="4">
        <v>26.1</v>
      </c>
      <c r="AK75" s="4">
        <v>56.9</v>
      </c>
      <c r="AL75" s="4">
        <v>51.3</v>
      </c>
      <c r="AM75" s="4">
        <v>31.5</v>
      </c>
      <c r="AN75" s="4">
        <v>1.82</v>
      </c>
      <c r="AO75" s="4">
        <v>1.27</v>
      </c>
      <c r="AP75" s="4">
        <v>0.72</v>
      </c>
      <c r="AQ75" s="4">
        <v>4.3999999999999997E-2</v>
      </c>
      <c r="AR75" s="4">
        <v>90.3</v>
      </c>
      <c r="AS75" s="4">
        <v>5.14</v>
      </c>
      <c r="AT75" s="4">
        <v>4.07</v>
      </c>
      <c r="AU75" s="4">
        <v>92.5</v>
      </c>
      <c r="AV75" s="4">
        <v>6.35</v>
      </c>
      <c r="AW75" s="4">
        <v>2.0299999999999998</v>
      </c>
      <c r="AX75" s="4">
        <v>6</v>
      </c>
      <c r="AY75" s="4">
        <v>91.8</v>
      </c>
      <c r="AZ75" s="4">
        <v>5.34</v>
      </c>
      <c r="BA75" s="4">
        <v>14.3</v>
      </c>
      <c r="BB75" s="4">
        <v>40</v>
      </c>
      <c r="BC75" s="4">
        <v>79.2</v>
      </c>
      <c r="BD75" s="4">
        <v>2.06</v>
      </c>
      <c r="BE75" s="4">
        <v>6.74</v>
      </c>
      <c r="BF75" s="4">
        <v>24.6</v>
      </c>
      <c r="BG75" s="4">
        <v>36</v>
      </c>
      <c r="BH75" s="4">
        <v>428</v>
      </c>
      <c r="BI75" s="4">
        <v>463</v>
      </c>
      <c r="BJ75" s="4">
        <v>246</v>
      </c>
      <c r="BK75" s="4">
        <v>509</v>
      </c>
      <c r="BL75" s="4">
        <v>17.100000000000001</v>
      </c>
      <c r="BM75" s="4">
        <v>23.4</v>
      </c>
    </row>
    <row r="76" spans="1:65" x14ac:dyDescent="0.2">
      <c r="A76" s="4" t="s">
        <v>433</v>
      </c>
      <c r="B76" s="4">
        <v>3.64</v>
      </c>
      <c r="C76" s="4">
        <v>5.59</v>
      </c>
      <c r="D76" s="4">
        <v>0.31</v>
      </c>
      <c r="E76" s="4">
        <v>52.6</v>
      </c>
      <c r="F76" s="4">
        <v>41.4</v>
      </c>
      <c r="G76" s="4">
        <v>76.5</v>
      </c>
      <c r="H76" s="4">
        <v>4.8000000000000001E-2</v>
      </c>
      <c r="I76" s="4">
        <v>1.5</v>
      </c>
      <c r="J76" s="4">
        <v>2.82</v>
      </c>
      <c r="K76" s="4">
        <v>72.099999999999994</v>
      </c>
      <c r="L76" s="4">
        <v>42</v>
      </c>
      <c r="M76" s="4">
        <v>8.82</v>
      </c>
      <c r="N76" s="4">
        <v>57.4</v>
      </c>
      <c r="O76" s="4">
        <v>23.8</v>
      </c>
      <c r="P76" s="4">
        <v>5.36</v>
      </c>
      <c r="Q76" s="4">
        <v>28.2</v>
      </c>
      <c r="R76" s="4">
        <v>67.5</v>
      </c>
      <c r="S76" s="4">
        <v>3.61</v>
      </c>
      <c r="T76" s="4">
        <v>11</v>
      </c>
      <c r="U76" s="4">
        <v>17.899999999999999</v>
      </c>
      <c r="V76" s="4">
        <v>60.8</v>
      </c>
      <c r="W76" s="4">
        <v>4.3899999999999997</v>
      </c>
      <c r="X76" s="4">
        <v>62.8</v>
      </c>
      <c r="Y76" s="4">
        <v>3.5</v>
      </c>
      <c r="Z76" s="4">
        <v>19.399999999999999</v>
      </c>
      <c r="AA76" s="4">
        <v>14.3</v>
      </c>
      <c r="AB76" s="4">
        <v>27.4</v>
      </c>
      <c r="AC76" s="4">
        <v>2.14</v>
      </c>
      <c r="AD76" s="4">
        <v>2.23</v>
      </c>
      <c r="AE76" s="4">
        <v>5.25</v>
      </c>
      <c r="AF76" s="4">
        <v>88.2</v>
      </c>
      <c r="AG76" s="4">
        <v>11.6</v>
      </c>
      <c r="AH76" s="4">
        <v>38.299999999999997</v>
      </c>
      <c r="AI76" s="4">
        <v>15.7</v>
      </c>
      <c r="AJ76" s="4">
        <v>29.5</v>
      </c>
      <c r="AK76" s="4">
        <v>12.9</v>
      </c>
      <c r="AL76" s="4">
        <v>16.7</v>
      </c>
      <c r="AM76" s="4">
        <v>21.4</v>
      </c>
      <c r="AN76" s="4">
        <v>2.0499999999999998</v>
      </c>
      <c r="AO76" s="4">
        <v>5.72</v>
      </c>
      <c r="AP76" s="4">
        <v>1.4</v>
      </c>
      <c r="AQ76" s="4">
        <v>1.1399999999999999</v>
      </c>
      <c r="AR76" s="4">
        <v>77</v>
      </c>
      <c r="AS76" s="4">
        <v>14.5</v>
      </c>
      <c r="AT76" s="4">
        <v>0.7</v>
      </c>
      <c r="AU76" s="4">
        <v>83.9</v>
      </c>
      <c r="AV76" s="4">
        <v>14.4</v>
      </c>
      <c r="AW76" s="4">
        <v>38.1</v>
      </c>
      <c r="AX76" s="4">
        <v>7.2</v>
      </c>
      <c r="AY76" s="4">
        <v>46.3</v>
      </c>
      <c r="AZ76" s="4">
        <v>4.21</v>
      </c>
      <c r="BA76" s="4">
        <v>30.8</v>
      </c>
      <c r="BB76" s="4">
        <v>67.599999999999994</v>
      </c>
      <c r="BC76" s="4">
        <v>79.8</v>
      </c>
      <c r="BD76" s="4">
        <v>2.0099999999999998</v>
      </c>
      <c r="BE76" s="4">
        <v>4.9800000000000004</v>
      </c>
      <c r="BF76" s="4">
        <v>9.31</v>
      </c>
      <c r="BG76" s="4">
        <v>-44.3</v>
      </c>
      <c r="BH76" s="4">
        <v>421</v>
      </c>
      <c r="BI76" s="4">
        <v>337</v>
      </c>
      <c r="BJ76" s="4">
        <v>531</v>
      </c>
      <c r="BK76" s="4">
        <v>1037</v>
      </c>
      <c r="BL76" s="4">
        <v>663</v>
      </c>
      <c r="BM76" s="4">
        <v>12.4</v>
      </c>
    </row>
    <row r="77" spans="1:65" x14ac:dyDescent="0.2">
      <c r="A77" s="4" t="s">
        <v>348</v>
      </c>
      <c r="B77" s="4">
        <v>19.8</v>
      </c>
      <c r="C77" s="4">
        <v>19.399999999999999</v>
      </c>
      <c r="D77" s="4">
        <v>0.65</v>
      </c>
      <c r="E77" s="4">
        <v>42.4</v>
      </c>
      <c r="F77" s="4">
        <v>37.299999999999997</v>
      </c>
      <c r="G77" s="4">
        <v>62</v>
      </c>
      <c r="H77" s="4">
        <v>5.2999999999999999E-2</v>
      </c>
      <c r="I77" s="4">
        <v>0.16</v>
      </c>
      <c r="J77" s="4">
        <v>1.23</v>
      </c>
      <c r="K77" s="4">
        <v>59.4</v>
      </c>
      <c r="L77" s="4">
        <v>38.700000000000003</v>
      </c>
      <c r="M77" s="4">
        <v>6.53</v>
      </c>
      <c r="N77" s="4">
        <v>52.8</v>
      </c>
      <c r="O77" s="4">
        <v>24.6</v>
      </c>
      <c r="P77" s="4">
        <v>11.1</v>
      </c>
      <c r="Q77" s="4">
        <v>32.1</v>
      </c>
      <c r="R77" s="4">
        <v>57.3</v>
      </c>
      <c r="S77" s="4">
        <v>4.2699999999999996</v>
      </c>
      <c r="T77" s="4">
        <v>23.5</v>
      </c>
      <c r="U77" s="4">
        <v>15</v>
      </c>
      <c r="V77" s="4">
        <v>55</v>
      </c>
      <c r="W77" s="4">
        <v>6.83</v>
      </c>
      <c r="X77" s="4">
        <v>30</v>
      </c>
      <c r="Y77" s="4">
        <v>9.26</v>
      </c>
      <c r="Z77" s="4">
        <v>35.200000000000003</v>
      </c>
      <c r="AA77" s="4">
        <v>25.5</v>
      </c>
      <c r="AB77" s="4">
        <v>18.600000000000001</v>
      </c>
      <c r="AC77" s="4">
        <v>7.99</v>
      </c>
      <c r="AD77" s="4">
        <v>5.46</v>
      </c>
      <c r="AE77" s="4">
        <v>14.6</v>
      </c>
      <c r="AF77" s="4">
        <v>65</v>
      </c>
      <c r="AG77" s="4">
        <v>12.6</v>
      </c>
      <c r="AH77" s="4">
        <v>6.22</v>
      </c>
      <c r="AI77" s="4">
        <v>30.5</v>
      </c>
      <c r="AJ77" s="4">
        <v>55.5</v>
      </c>
      <c r="AK77" s="4">
        <v>5.2</v>
      </c>
      <c r="AL77" s="4">
        <v>23.3</v>
      </c>
      <c r="AM77" s="4">
        <v>41</v>
      </c>
      <c r="AN77" s="4">
        <v>2.38</v>
      </c>
      <c r="AO77" s="4">
        <v>4</v>
      </c>
      <c r="AP77" s="4">
        <v>2.5</v>
      </c>
      <c r="AQ77" s="4">
        <v>4.4000000000000004</v>
      </c>
      <c r="AR77" s="4">
        <v>73.5</v>
      </c>
      <c r="AS77" s="4">
        <v>20</v>
      </c>
      <c r="AT77" s="4">
        <v>0.28999999999999998</v>
      </c>
      <c r="AU77" s="4">
        <v>81.8</v>
      </c>
      <c r="AV77" s="4">
        <v>13.5</v>
      </c>
      <c r="AW77" s="4">
        <v>25.1</v>
      </c>
      <c r="AX77" s="4">
        <v>4.99</v>
      </c>
      <c r="AY77" s="4">
        <v>66.3</v>
      </c>
      <c r="AZ77" s="4">
        <v>2.39</v>
      </c>
      <c r="BA77" s="4">
        <v>8.07</v>
      </c>
      <c r="BB77" s="4">
        <v>24.9</v>
      </c>
      <c r="BC77" s="4">
        <v>42</v>
      </c>
      <c r="BD77" s="4">
        <v>2.77</v>
      </c>
      <c r="BE77" s="4">
        <v>5.35</v>
      </c>
      <c r="BF77" s="4">
        <v>9.4600000000000009</v>
      </c>
      <c r="BG77" s="4">
        <v>-62.7</v>
      </c>
      <c r="BH77" s="4">
        <v>263</v>
      </c>
      <c r="BI77" s="4">
        <v>202</v>
      </c>
      <c r="BJ77" s="4">
        <v>257</v>
      </c>
      <c r="BK77" s="4">
        <v>493</v>
      </c>
      <c r="BL77" s="4">
        <v>314</v>
      </c>
      <c r="BM77" s="4">
        <v>-0.59</v>
      </c>
    </row>
    <row r="78" spans="1:65" x14ac:dyDescent="0.2">
      <c r="A78" s="4" t="s">
        <v>436</v>
      </c>
      <c r="B78" s="4">
        <v>8.9600000000000009</v>
      </c>
      <c r="C78" s="4">
        <v>1.5</v>
      </c>
      <c r="D78" s="4">
        <v>0.97</v>
      </c>
      <c r="E78" s="4">
        <v>10.3</v>
      </c>
      <c r="F78" s="4">
        <v>87.2</v>
      </c>
      <c r="G78" s="4">
        <v>67.400000000000006</v>
      </c>
      <c r="H78" s="4">
        <v>3.3000000000000002E-2</v>
      </c>
      <c r="I78" s="4">
        <v>0.15</v>
      </c>
      <c r="J78" s="4">
        <v>1.94</v>
      </c>
      <c r="K78" s="4">
        <v>65.099999999999994</v>
      </c>
      <c r="L78" s="4">
        <v>46</v>
      </c>
      <c r="M78" s="4">
        <v>6.38</v>
      </c>
      <c r="N78" s="4">
        <v>28.7</v>
      </c>
      <c r="O78" s="4">
        <v>41.5</v>
      </c>
      <c r="P78" s="4">
        <v>18.5</v>
      </c>
      <c r="Q78" s="4">
        <v>51</v>
      </c>
      <c r="R78" s="4">
        <v>51.9</v>
      </c>
      <c r="S78" s="4">
        <v>8.26</v>
      </c>
      <c r="T78" s="4">
        <v>17.7</v>
      </c>
      <c r="U78" s="4">
        <v>22.2</v>
      </c>
      <c r="V78" s="4">
        <v>31.6</v>
      </c>
      <c r="W78" s="4">
        <v>12.6</v>
      </c>
      <c r="X78" s="4">
        <v>21.7</v>
      </c>
      <c r="Y78" s="4">
        <v>13.1</v>
      </c>
      <c r="Z78" s="4">
        <v>27.3</v>
      </c>
      <c r="AA78" s="4">
        <v>37.9</v>
      </c>
      <c r="AB78" s="4">
        <v>16.7</v>
      </c>
      <c r="AC78" s="4">
        <v>24.3</v>
      </c>
      <c r="AD78" s="4">
        <v>17.600000000000001</v>
      </c>
      <c r="AE78" s="4">
        <v>29.9</v>
      </c>
      <c r="AF78" s="4">
        <v>24.3</v>
      </c>
      <c r="AG78" s="4">
        <v>9.23</v>
      </c>
      <c r="AH78" s="4">
        <v>9.4499999999999993</v>
      </c>
      <c r="AI78" s="4">
        <v>7.84</v>
      </c>
      <c r="AJ78" s="4">
        <v>78.2</v>
      </c>
      <c r="AK78" s="4">
        <v>2.36</v>
      </c>
      <c r="AL78" s="4">
        <v>14.2</v>
      </c>
      <c r="AM78" s="4">
        <v>19.7</v>
      </c>
      <c r="AN78" s="4">
        <v>0.52</v>
      </c>
      <c r="AO78" s="4">
        <v>1.0900000000000001</v>
      </c>
      <c r="AP78" s="4">
        <v>1.49</v>
      </c>
      <c r="AQ78" s="4">
        <v>4.8</v>
      </c>
      <c r="AR78" s="4">
        <v>76.400000000000006</v>
      </c>
      <c r="AS78" s="4">
        <v>22</v>
      </c>
      <c r="AT78" s="4">
        <v>0.14000000000000001</v>
      </c>
      <c r="AU78" s="4">
        <v>78</v>
      </c>
      <c r="AV78" s="4">
        <v>16.399999999999999</v>
      </c>
      <c r="AW78" s="4">
        <v>48.7</v>
      </c>
      <c r="AX78" s="4">
        <v>5.88</v>
      </c>
      <c r="AY78" s="4">
        <v>37.5</v>
      </c>
      <c r="AZ78" s="4">
        <v>5.48</v>
      </c>
      <c r="BA78" s="4">
        <v>7.89</v>
      </c>
      <c r="BB78" s="4">
        <v>69.5</v>
      </c>
      <c r="BC78" s="4">
        <v>76</v>
      </c>
      <c r="BD78" s="4">
        <v>4.87</v>
      </c>
      <c r="BE78" s="4">
        <v>7.01</v>
      </c>
      <c r="BF78" s="4">
        <v>49.7</v>
      </c>
      <c r="BG78" s="4">
        <v>-37.1</v>
      </c>
      <c r="BH78" s="4">
        <v>201</v>
      </c>
      <c r="BI78" s="4">
        <v>187</v>
      </c>
      <c r="BJ78" s="4">
        <v>131</v>
      </c>
      <c r="BK78" s="4">
        <v>180</v>
      </c>
      <c r="BL78" s="4">
        <v>74.2</v>
      </c>
      <c r="BM78" s="4">
        <v>20.7</v>
      </c>
    </row>
    <row r="79" spans="1:65" x14ac:dyDescent="0.2">
      <c r="A79" s="4" t="s">
        <v>517</v>
      </c>
      <c r="B79" s="4">
        <v>11.3</v>
      </c>
      <c r="C79" s="4">
        <v>7.05</v>
      </c>
      <c r="D79" s="4">
        <v>0.78</v>
      </c>
      <c r="E79" s="4">
        <v>28.5</v>
      </c>
      <c r="F79" s="4">
        <v>63.6</v>
      </c>
      <c r="G79" s="4">
        <v>66.900000000000006</v>
      </c>
      <c r="H79" s="4">
        <v>2.1999999999999999E-2</v>
      </c>
      <c r="I79" s="4">
        <v>0.5</v>
      </c>
      <c r="J79" s="4">
        <v>4.9000000000000004</v>
      </c>
      <c r="K79" s="4">
        <v>61.6</v>
      </c>
      <c r="L79" s="4">
        <v>34</v>
      </c>
      <c r="M79" s="4">
        <v>6.55</v>
      </c>
      <c r="N79" s="4">
        <v>48.8</v>
      </c>
      <c r="O79" s="4">
        <v>29.5</v>
      </c>
      <c r="P79" s="4">
        <v>9.8800000000000008</v>
      </c>
      <c r="Q79" s="4">
        <v>28.8</v>
      </c>
      <c r="R79" s="4">
        <v>32.299999999999997</v>
      </c>
      <c r="S79" s="4">
        <v>17.100000000000001</v>
      </c>
      <c r="T79" s="4">
        <v>37</v>
      </c>
      <c r="U79" s="4">
        <v>13.6</v>
      </c>
      <c r="V79" s="4">
        <v>52.2</v>
      </c>
      <c r="W79" s="4">
        <v>14.1</v>
      </c>
      <c r="X79" s="4">
        <v>26.8</v>
      </c>
      <c r="Y79" s="4">
        <v>13.4</v>
      </c>
      <c r="Z79" s="4">
        <v>40.5</v>
      </c>
      <c r="AA79" s="4">
        <v>19.399999999999999</v>
      </c>
      <c r="AB79" s="4">
        <v>24.9</v>
      </c>
      <c r="AC79" s="4">
        <v>3.37</v>
      </c>
      <c r="AD79" s="4">
        <v>7.17</v>
      </c>
      <c r="AE79" s="4">
        <v>17.7</v>
      </c>
      <c r="AF79" s="4">
        <v>69.099999999999994</v>
      </c>
      <c r="AG79" s="4">
        <v>17.7</v>
      </c>
      <c r="AH79" s="4">
        <v>7.17</v>
      </c>
      <c r="AI79" s="4">
        <v>15.3</v>
      </c>
      <c r="AJ79" s="4">
        <v>52.5</v>
      </c>
      <c r="AK79" s="4">
        <v>21.3</v>
      </c>
      <c r="AL79" s="4">
        <v>22.3</v>
      </c>
      <c r="AM79" s="4">
        <v>30.6</v>
      </c>
      <c r="AN79" s="4">
        <v>0.59</v>
      </c>
      <c r="AO79" s="4">
        <v>1.82</v>
      </c>
      <c r="AP79" s="4">
        <v>0.96</v>
      </c>
      <c r="AQ79" s="4">
        <v>1.2</v>
      </c>
      <c r="AR79" s="4">
        <v>76</v>
      </c>
      <c r="AS79" s="4">
        <v>21.4</v>
      </c>
      <c r="AT79" s="4">
        <v>2.2999999999999998</v>
      </c>
      <c r="AU79" s="4">
        <v>90</v>
      </c>
      <c r="AV79" s="4">
        <v>8.5</v>
      </c>
      <c r="AW79" s="4">
        <v>30.8</v>
      </c>
      <c r="AX79" s="4">
        <v>8.5399999999999991</v>
      </c>
      <c r="AY79" s="4">
        <v>57.2</v>
      </c>
      <c r="AZ79" s="4">
        <v>0.99</v>
      </c>
      <c r="BA79" s="4">
        <v>19.3</v>
      </c>
      <c r="BB79" s="4">
        <v>60.3</v>
      </c>
      <c r="BC79" s="4">
        <v>62.6</v>
      </c>
      <c r="BD79" s="4">
        <v>1.96</v>
      </c>
      <c r="BE79" s="4">
        <v>6.24</v>
      </c>
      <c r="BF79" s="4">
        <v>24.7</v>
      </c>
      <c r="BG79" s="4">
        <v>-74.8</v>
      </c>
      <c r="BH79" s="4">
        <v>163</v>
      </c>
      <c r="BI79" s="4">
        <v>197</v>
      </c>
      <c r="BJ79" s="4">
        <v>381</v>
      </c>
      <c r="BK79" s="4">
        <v>469</v>
      </c>
      <c r="BL79" s="4">
        <v>181</v>
      </c>
      <c r="BM79" s="4">
        <v>-17.7</v>
      </c>
    </row>
    <row r="80" spans="1:65" x14ac:dyDescent="0.2">
      <c r="A80" s="4" t="s">
        <v>446</v>
      </c>
      <c r="B80" s="4">
        <v>12.3</v>
      </c>
      <c r="C80" s="4">
        <v>2.64</v>
      </c>
      <c r="D80" s="4">
        <v>0.15</v>
      </c>
      <c r="E80" s="4">
        <v>15.9</v>
      </c>
      <c r="F80" s="4">
        <v>78.599999999999994</v>
      </c>
      <c r="G80" s="4">
        <v>71.2</v>
      </c>
      <c r="H80" s="4">
        <v>0.02</v>
      </c>
      <c r="I80" s="4">
        <v>1.59</v>
      </c>
      <c r="J80" s="4">
        <v>2.92</v>
      </c>
      <c r="K80" s="4">
        <v>66.900000000000006</v>
      </c>
      <c r="L80" s="4">
        <v>34.6</v>
      </c>
      <c r="M80" s="4">
        <v>6.6</v>
      </c>
      <c r="N80" s="4">
        <v>52.6</v>
      </c>
      <c r="O80" s="4">
        <v>24.3</v>
      </c>
      <c r="P80" s="4">
        <v>9.23</v>
      </c>
      <c r="Q80" s="4">
        <v>27.8</v>
      </c>
      <c r="R80" s="4">
        <v>26.2</v>
      </c>
      <c r="S80" s="4">
        <v>17.600000000000001</v>
      </c>
      <c r="T80" s="4">
        <v>35</v>
      </c>
      <c r="U80" s="4">
        <v>21.2</v>
      </c>
      <c r="V80" s="4">
        <v>51.6</v>
      </c>
      <c r="W80" s="4">
        <v>10.8</v>
      </c>
      <c r="X80" s="4">
        <v>18.2</v>
      </c>
      <c r="Y80" s="4">
        <v>17</v>
      </c>
      <c r="Z80" s="4">
        <v>34</v>
      </c>
      <c r="AA80" s="4">
        <v>30.8</v>
      </c>
      <c r="AB80" s="4">
        <v>31.7</v>
      </c>
      <c r="AC80" s="4">
        <v>2.66</v>
      </c>
      <c r="AD80" s="4">
        <v>8.76</v>
      </c>
      <c r="AE80" s="4">
        <v>65.400000000000006</v>
      </c>
      <c r="AF80" s="4">
        <v>20.399999999999999</v>
      </c>
      <c r="AG80" s="4">
        <v>13.7</v>
      </c>
      <c r="AH80" s="4">
        <v>3.7</v>
      </c>
      <c r="AI80" s="4">
        <v>10.3</v>
      </c>
      <c r="AJ80" s="4">
        <v>66</v>
      </c>
      <c r="AK80" s="4">
        <v>10.4</v>
      </c>
      <c r="AL80" s="4">
        <v>14.9</v>
      </c>
      <c r="AM80" s="4">
        <v>25</v>
      </c>
      <c r="AN80" s="4">
        <v>0.34</v>
      </c>
      <c r="AO80" s="4">
        <v>1.08</v>
      </c>
      <c r="AP80" s="4">
        <v>1.9</v>
      </c>
      <c r="AQ80" s="4">
        <v>19.3</v>
      </c>
      <c r="AR80" s="4">
        <v>52.1</v>
      </c>
      <c r="AS80" s="4">
        <v>46.6</v>
      </c>
      <c r="AT80" s="4">
        <v>1.31</v>
      </c>
      <c r="AU80" s="4">
        <v>49.1</v>
      </c>
      <c r="AV80" s="4">
        <v>30.8</v>
      </c>
      <c r="AW80" s="4">
        <v>45</v>
      </c>
      <c r="AX80" s="4">
        <v>4.05</v>
      </c>
      <c r="AY80" s="4">
        <v>42.6</v>
      </c>
      <c r="AZ80" s="4">
        <v>1.1100000000000001</v>
      </c>
      <c r="BA80" s="4">
        <v>10.1</v>
      </c>
      <c r="BB80" s="4">
        <v>76.7</v>
      </c>
      <c r="BC80" s="4">
        <v>89.8</v>
      </c>
      <c r="BD80" s="4">
        <v>1.07</v>
      </c>
      <c r="BE80" s="4">
        <v>1.95</v>
      </c>
      <c r="BF80" s="4">
        <v>17.899999999999999</v>
      </c>
      <c r="BG80" s="4">
        <v>27.7</v>
      </c>
      <c r="BH80" s="4">
        <v>284</v>
      </c>
      <c r="BI80" s="4">
        <v>337</v>
      </c>
      <c r="BJ80" s="4">
        <v>318</v>
      </c>
      <c r="BK80" s="4">
        <v>212</v>
      </c>
      <c r="BL80" s="4">
        <v>43.5</v>
      </c>
      <c r="BM80" s="4">
        <v>23.5</v>
      </c>
    </row>
    <row r="81" spans="1:65" x14ac:dyDescent="0.2">
      <c r="A81" s="4" t="s">
        <v>349</v>
      </c>
      <c r="B81" s="4">
        <v>18</v>
      </c>
      <c r="C81" s="4">
        <v>10.3</v>
      </c>
      <c r="D81" s="4">
        <v>0.25</v>
      </c>
      <c r="E81" s="4">
        <v>26.3</v>
      </c>
      <c r="F81" s="4">
        <v>63.1</v>
      </c>
      <c r="G81" s="4">
        <v>47.7</v>
      </c>
      <c r="H81" s="4">
        <v>3.9E-2</v>
      </c>
      <c r="I81" s="4">
        <v>0.39</v>
      </c>
      <c r="J81" s="4">
        <v>1.23</v>
      </c>
      <c r="K81" s="4">
        <v>46.1</v>
      </c>
      <c r="L81" s="4">
        <v>32.700000000000003</v>
      </c>
      <c r="M81" s="4">
        <v>7.63</v>
      </c>
      <c r="N81" s="4">
        <v>19.3</v>
      </c>
      <c r="O81" s="4">
        <v>39.4</v>
      </c>
      <c r="P81" s="4">
        <v>27.2</v>
      </c>
      <c r="Q81" s="4">
        <v>55.5</v>
      </c>
      <c r="R81" s="4">
        <v>40.1</v>
      </c>
      <c r="S81" s="4">
        <v>8.6199999999999992</v>
      </c>
      <c r="T81" s="4">
        <v>41.5</v>
      </c>
      <c r="U81" s="4">
        <v>9.8000000000000007</v>
      </c>
      <c r="V81" s="4">
        <v>20.8</v>
      </c>
      <c r="W81" s="4">
        <v>15.1</v>
      </c>
      <c r="X81" s="4">
        <v>41.5</v>
      </c>
      <c r="Y81" s="4">
        <v>5.92</v>
      </c>
      <c r="Z81" s="4">
        <v>39.5</v>
      </c>
      <c r="AA81" s="4">
        <v>13.1</v>
      </c>
      <c r="AB81" s="4">
        <v>10.4</v>
      </c>
      <c r="AC81" s="4">
        <v>34.6</v>
      </c>
      <c r="AD81" s="4">
        <v>34.9</v>
      </c>
      <c r="AE81" s="4">
        <v>14.1</v>
      </c>
      <c r="AF81" s="4">
        <v>9.07</v>
      </c>
      <c r="AG81" s="4">
        <v>25.8</v>
      </c>
      <c r="AH81" s="4">
        <v>2.96</v>
      </c>
      <c r="AI81" s="4">
        <v>11.4</v>
      </c>
      <c r="AJ81" s="4">
        <v>69.5</v>
      </c>
      <c r="AK81" s="4">
        <v>12</v>
      </c>
      <c r="AL81" s="4">
        <v>17</v>
      </c>
      <c r="AM81" s="4">
        <v>13.4</v>
      </c>
      <c r="AN81" s="4">
        <v>0.38</v>
      </c>
      <c r="AO81" s="4">
        <v>0.89</v>
      </c>
      <c r="AP81" s="4">
        <v>1.39</v>
      </c>
      <c r="AQ81" s="4">
        <v>1.92</v>
      </c>
      <c r="AR81" s="4">
        <v>59.4</v>
      </c>
      <c r="AS81" s="4">
        <v>39.200000000000003</v>
      </c>
      <c r="AT81" s="4">
        <v>1.27</v>
      </c>
      <c r="AU81" s="4">
        <v>73.099999999999994</v>
      </c>
      <c r="AV81" s="4">
        <v>24.4</v>
      </c>
      <c r="AW81" s="4">
        <v>54.2</v>
      </c>
      <c r="AX81" s="4">
        <v>6.93</v>
      </c>
      <c r="AY81" s="4">
        <v>33</v>
      </c>
      <c r="AZ81" s="4">
        <v>1.34</v>
      </c>
      <c r="BA81" s="4">
        <v>5.18</v>
      </c>
      <c r="BB81" s="4">
        <v>14.9</v>
      </c>
      <c r="BC81" s="4">
        <v>19.600000000000001</v>
      </c>
      <c r="BD81" s="4">
        <v>1.46</v>
      </c>
      <c r="BE81" s="4">
        <v>2.29</v>
      </c>
      <c r="BF81" s="4">
        <v>12.3</v>
      </c>
      <c r="BG81" s="4">
        <v>-54.6</v>
      </c>
      <c r="BH81" s="4">
        <v>135</v>
      </c>
      <c r="BI81" s="4">
        <v>207</v>
      </c>
      <c r="BJ81" s="4">
        <v>38.6</v>
      </c>
      <c r="BK81" s="4">
        <v>126</v>
      </c>
      <c r="BL81" s="4">
        <v>163</v>
      </c>
      <c r="BM81" s="4">
        <v>-14.3</v>
      </c>
    </row>
    <row r="82" spans="1:65" x14ac:dyDescent="0.2">
      <c r="A82" s="4" t="s">
        <v>431</v>
      </c>
      <c r="B82" s="4">
        <v>3.06</v>
      </c>
      <c r="C82" s="4">
        <v>7.29</v>
      </c>
      <c r="D82" s="4">
        <v>0.11</v>
      </c>
      <c r="E82" s="4">
        <v>27.6</v>
      </c>
      <c r="F82" s="4">
        <v>64.8</v>
      </c>
      <c r="G82" s="4">
        <v>77.3</v>
      </c>
      <c r="H82" s="4">
        <v>7.1999999999999995E-2</v>
      </c>
      <c r="I82" s="4">
        <v>0.71</v>
      </c>
      <c r="J82" s="4">
        <v>0.43</v>
      </c>
      <c r="K82" s="4">
        <v>75.8</v>
      </c>
      <c r="L82" s="4">
        <v>41.9</v>
      </c>
      <c r="M82" s="4">
        <v>5.63</v>
      </c>
      <c r="N82" s="4">
        <v>55.3</v>
      </c>
      <c r="O82" s="4">
        <v>21.8</v>
      </c>
      <c r="P82" s="4">
        <v>12.8</v>
      </c>
      <c r="Q82" s="4">
        <v>26.6</v>
      </c>
      <c r="R82" s="4">
        <v>43.6</v>
      </c>
      <c r="S82" s="4">
        <v>12.7</v>
      </c>
      <c r="T82" s="4">
        <v>18.7</v>
      </c>
      <c r="U82" s="4">
        <v>25.1</v>
      </c>
      <c r="V82" s="4">
        <v>53.4</v>
      </c>
      <c r="W82" s="4">
        <v>10.1</v>
      </c>
      <c r="X82" s="4">
        <v>36.9</v>
      </c>
      <c r="Y82" s="4">
        <v>9.2100000000000009</v>
      </c>
      <c r="Z82" s="4">
        <v>27</v>
      </c>
      <c r="AA82" s="4">
        <v>26.8</v>
      </c>
      <c r="AB82" s="4">
        <v>32.799999999999997</v>
      </c>
      <c r="AC82" s="4">
        <v>0.84</v>
      </c>
      <c r="AD82" s="4">
        <v>5.15</v>
      </c>
      <c r="AE82" s="4">
        <v>27.4</v>
      </c>
      <c r="AF82" s="4">
        <v>66</v>
      </c>
      <c r="AG82" s="4">
        <v>14.5</v>
      </c>
      <c r="AH82" s="4">
        <v>4.9400000000000004</v>
      </c>
      <c r="AI82" s="4">
        <v>26.4</v>
      </c>
      <c r="AJ82" s="4">
        <v>63.6</v>
      </c>
      <c r="AK82" s="4">
        <v>1.98</v>
      </c>
      <c r="AL82" s="4">
        <v>28</v>
      </c>
      <c r="AM82" s="4">
        <v>32.299999999999997</v>
      </c>
      <c r="AN82" s="4">
        <v>0.83</v>
      </c>
      <c r="AO82" s="4">
        <v>2.27</v>
      </c>
      <c r="AP82" s="4">
        <v>1.4</v>
      </c>
      <c r="AQ82" s="4">
        <v>9</v>
      </c>
      <c r="AR82" s="4">
        <v>72.599999999999994</v>
      </c>
      <c r="AS82" s="4">
        <v>24</v>
      </c>
      <c r="AT82" s="4">
        <v>0.1</v>
      </c>
      <c r="AU82" s="4">
        <v>62.7</v>
      </c>
      <c r="AV82" s="4">
        <v>27.6</v>
      </c>
      <c r="AW82" s="4">
        <v>28.9</v>
      </c>
      <c r="AX82" s="4">
        <v>2.77</v>
      </c>
      <c r="AY82" s="4">
        <v>62.2</v>
      </c>
      <c r="AZ82" s="4">
        <v>2.21</v>
      </c>
      <c r="BA82" s="4">
        <v>26.4</v>
      </c>
      <c r="BB82" s="4">
        <v>89.1</v>
      </c>
      <c r="BC82" s="4">
        <v>88.5</v>
      </c>
      <c r="BD82" s="4">
        <v>2.61</v>
      </c>
      <c r="BE82" s="4">
        <v>7.58</v>
      </c>
      <c r="BF82" s="4">
        <v>47.1</v>
      </c>
      <c r="BG82" s="4">
        <v>-36.6</v>
      </c>
      <c r="BH82" s="4">
        <v>189</v>
      </c>
      <c r="BI82" s="4">
        <v>220</v>
      </c>
      <c r="BJ82" s="4">
        <v>274</v>
      </c>
      <c r="BK82" s="4">
        <v>207</v>
      </c>
      <c r="BL82" s="4">
        <v>178</v>
      </c>
      <c r="BM82" s="4">
        <v>-16</v>
      </c>
    </row>
    <row r="83" spans="1:65" x14ac:dyDescent="0.2">
      <c r="A83" s="4" t="s">
        <v>445</v>
      </c>
      <c r="B83" s="4">
        <v>19.399999999999999</v>
      </c>
      <c r="C83" s="4">
        <v>1.61</v>
      </c>
      <c r="D83" s="4">
        <v>0.32</v>
      </c>
      <c r="E83" s="4">
        <v>17.3</v>
      </c>
      <c r="F83" s="4">
        <v>77.5</v>
      </c>
      <c r="G83" s="4">
        <v>62.8</v>
      </c>
      <c r="H83" s="4">
        <v>3.5000000000000003E-2</v>
      </c>
      <c r="I83" s="4">
        <v>1.04</v>
      </c>
      <c r="J83" s="4">
        <v>1.76</v>
      </c>
      <c r="K83" s="4">
        <v>60.2</v>
      </c>
      <c r="L83" s="4">
        <v>38.1</v>
      </c>
      <c r="M83" s="4">
        <v>11.4</v>
      </c>
      <c r="N83" s="4">
        <v>59</v>
      </c>
      <c r="O83" s="4">
        <v>17.600000000000001</v>
      </c>
      <c r="P83" s="4">
        <v>7.47</v>
      </c>
      <c r="Q83" s="4">
        <v>20.100000000000001</v>
      </c>
      <c r="R83" s="4">
        <v>36.1</v>
      </c>
      <c r="S83" s="4">
        <v>15.7</v>
      </c>
      <c r="T83" s="4">
        <v>30.2</v>
      </c>
      <c r="U83" s="4">
        <v>18</v>
      </c>
      <c r="V83" s="4">
        <v>58.9</v>
      </c>
      <c r="W83" s="4">
        <v>8.3000000000000007</v>
      </c>
      <c r="X83" s="4">
        <v>15.4</v>
      </c>
      <c r="Y83" s="4">
        <v>22.5</v>
      </c>
      <c r="Z83" s="4">
        <v>27</v>
      </c>
      <c r="AA83" s="4">
        <v>35.1</v>
      </c>
      <c r="AB83" s="4">
        <v>21</v>
      </c>
      <c r="AC83" s="4">
        <v>5.01</v>
      </c>
      <c r="AD83" s="4">
        <v>44.8</v>
      </c>
      <c r="AE83" s="4">
        <v>24.6</v>
      </c>
      <c r="AF83" s="4">
        <v>21.7</v>
      </c>
      <c r="AG83" s="4">
        <v>14.3</v>
      </c>
      <c r="AH83" s="4">
        <v>2.2000000000000002</v>
      </c>
      <c r="AI83" s="4">
        <v>3.88</v>
      </c>
      <c r="AJ83" s="4">
        <v>78.3</v>
      </c>
      <c r="AK83" s="4">
        <v>12</v>
      </c>
      <c r="AL83" s="4">
        <v>0.15</v>
      </c>
      <c r="AM83" s="4">
        <v>13.2</v>
      </c>
      <c r="AN83" s="4">
        <v>0.21</v>
      </c>
      <c r="AO83" s="4">
        <v>0.4</v>
      </c>
      <c r="AP83" s="4">
        <v>1.29</v>
      </c>
      <c r="AQ83" s="4">
        <v>6.34</v>
      </c>
      <c r="AR83" s="4">
        <v>58.7</v>
      </c>
      <c r="AS83" s="4">
        <v>40.700000000000003</v>
      </c>
      <c r="AT83" s="4">
        <v>0.55000000000000004</v>
      </c>
      <c r="AU83" s="4">
        <v>60.8</v>
      </c>
      <c r="AV83" s="4">
        <v>32.799999999999997</v>
      </c>
      <c r="AW83" s="4">
        <v>63.7</v>
      </c>
      <c r="AX83" s="4">
        <v>9.07</v>
      </c>
      <c r="AY83" s="4">
        <v>14.9</v>
      </c>
      <c r="AZ83" s="4">
        <v>0.66</v>
      </c>
      <c r="BA83" s="4">
        <v>19.2</v>
      </c>
      <c r="BB83" s="4">
        <v>80.7</v>
      </c>
      <c r="BC83" s="4">
        <v>72.5</v>
      </c>
      <c r="BD83" s="4">
        <v>0.42</v>
      </c>
      <c r="BE83" s="4">
        <v>1.87</v>
      </c>
      <c r="BF83" s="4">
        <v>26.8</v>
      </c>
      <c r="BG83" s="4">
        <v>-47.4</v>
      </c>
      <c r="BH83" s="4">
        <v>260</v>
      </c>
      <c r="BI83" s="4">
        <v>344</v>
      </c>
      <c r="BJ83" s="4">
        <v>212</v>
      </c>
      <c r="BK83" s="4">
        <v>174</v>
      </c>
      <c r="BL83" s="4">
        <v>91.9</v>
      </c>
      <c r="BM83" s="4">
        <v>-21.9</v>
      </c>
    </row>
    <row r="84" spans="1:65" x14ac:dyDescent="0.2">
      <c r="A84" s="4" t="s">
        <v>444</v>
      </c>
      <c r="B84" s="4">
        <v>29.1</v>
      </c>
      <c r="C84" s="4">
        <v>1.94</v>
      </c>
      <c r="D84" s="4">
        <v>0.22</v>
      </c>
      <c r="E84" s="4">
        <v>16.399999999999999</v>
      </c>
      <c r="F84" s="4">
        <v>77.2</v>
      </c>
      <c r="G84" s="4">
        <v>67.8</v>
      </c>
      <c r="H84" s="4">
        <v>8.8999999999999996E-2</v>
      </c>
      <c r="I84" s="4">
        <v>1.25</v>
      </c>
      <c r="J84" s="4">
        <v>3.4</v>
      </c>
      <c r="K84" s="4">
        <v>62.8</v>
      </c>
      <c r="L84" s="4">
        <v>43</v>
      </c>
      <c r="M84" s="4">
        <v>7.08</v>
      </c>
      <c r="N84" s="4">
        <v>65.900000000000006</v>
      </c>
      <c r="O84" s="4">
        <v>11.5</v>
      </c>
      <c r="P84" s="4">
        <v>9.39</v>
      </c>
      <c r="Q84" s="4">
        <v>22.7</v>
      </c>
      <c r="R84" s="4">
        <v>61.3</v>
      </c>
      <c r="S84" s="4">
        <v>4.88</v>
      </c>
      <c r="T84" s="4">
        <v>8.89</v>
      </c>
      <c r="U84" s="4">
        <v>25</v>
      </c>
      <c r="V84" s="4">
        <v>67.900000000000006</v>
      </c>
      <c r="W84" s="4">
        <v>2.78</v>
      </c>
      <c r="X84" s="4">
        <v>37.799999999999997</v>
      </c>
      <c r="Y84" s="4">
        <v>8.23</v>
      </c>
      <c r="Z84" s="4">
        <v>16.2</v>
      </c>
      <c r="AA84" s="4">
        <v>37.700000000000003</v>
      </c>
      <c r="AB84" s="4">
        <v>19.100000000000001</v>
      </c>
      <c r="AC84" s="4">
        <v>2.4</v>
      </c>
      <c r="AD84" s="4">
        <v>21.7</v>
      </c>
      <c r="AE84" s="4">
        <v>40.9</v>
      </c>
      <c r="AF84" s="4">
        <v>32.200000000000003</v>
      </c>
      <c r="AG84" s="4">
        <v>0.47</v>
      </c>
      <c r="AH84" s="4">
        <v>10.3</v>
      </c>
      <c r="AI84" s="4">
        <v>14.2</v>
      </c>
      <c r="AJ84" s="4">
        <v>50.6</v>
      </c>
      <c r="AK84" s="4">
        <v>15.1</v>
      </c>
      <c r="AL84" s="4">
        <v>0.99</v>
      </c>
      <c r="AM84" s="4">
        <v>1.48</v>
      </c>
      <c r="AN84" s="4">
        <v>0.14000000000000001</v>
      </c>
      <c r="AO84" s="4">
        <v>0</v>
      </c>
      <c r="AP84" s="4">
        <v>0</v>
      </c>
      <c r="AQ84" s="4">
        <v>0.46</v>
      </c>
      <c r="AR84" s="4">
        <v>68.400000000000006</v>
      </c>
      <c r="AS84" s="4">
        <v>27.8</v>
      </c>
      <c r="AT84" s="4">
        <v>0.55000000000000004</v>
      </c>
      <c r="AU84" s="4">
        <v>79.599999999999994</v>
      </c>
      <c r="AV84" s="4">
        <v>19.899999999999999</v>
      </c>
      <c r="AW84" s="4">
        <v>46.3</v>
      </c>
      <c r="AX84" s="4">
        <v>43.3</v>
      </c>
      <c r="AY84" s="4">
        <v>7.39</v>
      </c>
      <c r="AZ84" s="4">
        <v>0.23</v>
      </c>
      <c r="BA84" s="4">
        <v>12.8</v>
      </c>
      <c r="BB84" s="4">
        <v>87.7</v>
      </c>
      <c r="BC84" s="4">
        <v>78.7</v>
      </c>
      <c r="BD84" s="4">
        <v>0.46</v>
      </c>
      <c r="BE84" s="4">
        <v>1.38</v>
      </c>
      <c r="BF84" s="4">
        <v>42</v>
      </c>
      <c r="BG84" s="4">
        <v>-1.33</v>
      </c>
      <c r="BH84" s="4">
        <v>326</v>
      </c>
      <c r="BI84" s="4">
        <v>317</v>
      </c>
      <c r="BJ84" s="4">
        <v>243</v>
      </c>
      <c r="BK84" s="4">
        <v>164</v>
      </c>
      <c r="BL84" s="4">
        <v>117</v>
      </c>
      <c r="BM84" s="4">
        <v>-3.13</v>
      </c>
    </row>
    <row r="85" spans="1:65" x14ac:dyDescent="0.2">
      <c r="A85" s="4" t="s">
        <v>430</v>
      </c>
      <c r="B85" s="4">
        <v>16.7</v>
      </c>
      <c r="C85" s="4">
        <v>4.76</v>
      </c>
      <c r="D85" s="4">
        <v>0.21</v>
      </c>
      <c r="E85" s="4">
        <v>37</v>
      </c>
      <c r="F85" s="4">
        <v>57.9</v>
      </c>
      <c r="G85" s="4">
        <v>76.3</v>
      </c>
      <c r="H85" s="16">
        <v>7.8399999999999997E-3</v>
      </c>
      <c r="I85" s="4">
        <v>0.19</v>
      </c>
      <c r="J85" s="4">
        <v>2.65</v>
      </c>
      <c r="K85" s="4">
        <v>72</v>
      </c>
      <c r="L85" s="4">
        <v>54</v>
      </c>
      <c r="M85" s="4">
        <v>3.66</v>
      </c>
      <c r="N85" s="4">
        <v>69.8</v>
      </c>
      <c r="O85" s="4">
        <v>17.100000000000001</v>
      </c>
      <c r="P85" s="4">
        <v>8.09</v>
      </c>
      <c r="Q85" s="4">
        <v>20.100000000000001</v>
      </c>
      <c r="R85" s="4">
        <v>59.3</v>
      </c>
      <c r="S85" s="4">
        <v>5.74</v>
      </c>
      <c r="T85" s="4">
        <v>20.6</v>
      </c>
      <c r="U85" s="4">
        <v>14.3</v>
      </c>
      <c r="V85" s="4">
        <v>68.2</v>
      </c>
      <c r="W85" s="4">
        <v>5.16</v>
      </c>
      <c r="X85" s="4">
        <v>41.5</v>
      </c>
      <c r="Y85" s="4">
        <v>8.69</v>
      </c>
      <c r="Z85" s="4">
        <v>19.399999999999999</v>
      </c>
      <c r="AA85" s="4">
        <v>30.3</v>
      </c>
      <c r="AB85" s="4">
        <v>17.2</v>
      </c>
      <c r="AC85" s="4">
        <v>4.79</v>
      </c>
      <c r="AD85" s="4">
        <v>6.95</v>
      </c>
      <c r="AE85" s="4">
        <v>27.6</v>
      </c>
      <c r="AF85" s="4">
        <v>56.9</v>
      </c>
      <c r="AG85" s="4">
        <v>4.71</v>
      </c>
      <c r="AH85" s="4">
        <v>5.71</v>
      </c>
      <c r="AI85" s="4">
        <v>35.1</v>
      </c>
      <c r="AJ85" s="4">
        <v>47.7</v>
      </c>
      <c r="AK85" s="4">
        <v>9.14</v>
      </c>
      <c r="AL85" s="4">
        <v>18.399999999999999</v>
      </c>
      <c r="AM85" s="4">
        <v>10.7</v>
      </c>
      <c r="AN85" s="4">
        <v>1.1100000000000001</v>
      </c>
      <c r="AO85" s="4">
        <v>1</v>
      </c>
      <c r="AP85" s="4">
        <v>1.17</v>
      </c>
      <c r="AQ85" s="4">
        <v>1.91</v>
      </c>
      <c r="AR85" s="4">
        <v>67.099999999999994</v>
      </c>
      <c r="AS85" s="4">
        <v>30.7</v>
      </c>
      <c r="AT85" s="4">
        <v>7.1999999999999995E-2</v>
      </c>
      <c r="AU85" s="4">
        <v>56.6</v>
      </c>
      <c r="AV85" s="4">
        <v>40.799999999999997</v>
      </c>
      <c r="AW85" s="4">
        <v>61.4</v>
      </c>
      <c r="AX85" s="4">
        <v>4.67</v>
      </c>
      <c r="AY85" s="4">
        <v>30.2</v>
      </c>
      <c r="AZ85" s="4">
        <v>2.83</v>
      </c>
      <c r="BA85" s="4">
        <v>11.1</v>
      </c>
      <c r="BB85" s="4">
        <v>40.4</v>
      </c>
      <c r="BC85" s="4">
        <v>66.599999999999994</v>
      </c>
      <c r="BD85" s="4">
        <v>2.68</v>
      </c>
      <c r="BE85" s="4">
        <v>6.04</v>
      </c>
      <c r="BF85" s="4">
        <v>17.7</v>
      </c>
      <c r="BG85" s="4">
        <v>-26.9</v>
      </c>
      <c r="BH85" s="4">
        <v>225</v>
      </c>
      <c r="BI85" s="4">
        <v>228</v>
      </c>
      <c r="BJ85" s="4">
        <v>231</v>
      </c>
      <c r="BK85" s="4">
        <v>223</v>
      </c>
      <c r="BL85" s="4">
        <v>141</v>
      </c>
      <c r="BM85" s="4">
        <v>1.95</v>
      </c>
    </row>
    <row r="86" spans="1:65" x14ac:dyDescent="0.2">
      <c r="A86" s="4" t="s">
        <v>428</v>
      </c>
      <c r="B86" s="4">
        <v>14</v>
      </c>
      <c r="C86" s="4">
        <v>11.9</v>
      </c>
      <c r="D86" s="4">
        <v>0.45</v>
      </c>
      <c r="E86" s="4">
        <v>41.9</v>
      </c>
      <c r="F86" s="4">
        <v>45.6</v>
      </c>
      <c r="G86" s="4">
        <v>65.8</v>
      </c>
      <c r="H86" s="4">
        <v>8.5999999999999993E-2</v>
      </c>
      <c r="I86" s="4">
        <v>2.4E-2</v>
      </c>
      <c r="J86" s="4">
        <v>0.75</v>
      </c>
      <c r="K86" s="4">
        <v>64.900000000000006</v>
      </c>
      <c r="L86" s="4">
        <v>24.9</v>
      </c>
      <c r="M86" s="4">
        <v>8.85</v>
      </c>
      <c r="N86" s="4">
        <v>25.2</v>
      </c>
      <c r="O86" s="4">
        <v>25.2</v>
      </c>
      <c r="P86" s="4">
        <v>36.700000000000003</v>
      </c>
      <c r="Q86" s="4">
        <v>55.9</v>
      </c>
      <c r="R86" s="4">
        <v>33.5</v>
      </c>
      <c r="S86" s="4">
        <v>11.1</v>
      </c>
      <c r="T86" s="4">
        <v>13.2</v>
      </c>
      <c r="U86" s="4">
        <v>42.1</v>
      </c>
      <c r="V86" s="4">
        <v>25.3</v>
      </c>
      <c r="W86" s="4">
        <v>9.64</v>
      </c>
      <c r="X86" s="4">
        <v>18.7</v>
      </c>
      <c r="Y86" s="4">
        <v>13.1</v>
      </c>
      <c r="Z86" s="4">
        <v>25.9</v>
      </c>
      <c r="AA86" s="4">
        <v>42.3</v>
      </c>
      <c r="AB86" s="4">
        <v>38.299999999999997</v>
      </c>
      <c r="AC86" s="4">
        <v>5.88</v>
      </c>
      <c r="AD86" s="4">
        <v>10.199999999999999</v>
      </c>
      <c r="AE86" s="4">
        <v>32.799999999999997</v>
      </c>
      <c r="AF86" s="4">
        <v>47.7</v>
      </c>
      <c r="AG86" s="16">
        <v>3.2299999999999998E-3</v>
      </c>
      <c r="AH86" s="4">
        <v>5.88</v>
      </c>
      <c r="AI86" s="4">
        <v>11.8</v>
      </c>
      <c r="AJ86" s="4">
        <v>35.299999999999997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50</v>
      </c>
      <c r="AS86" s="4">
        <v>50</v>
      </c>
      <c r="AT86" s="4">
        <v>0</v>
      </c>
      <c r="AU86" s="4">
        <v>0</v>
      </c>
      <c r="AV86" s="4">
        <v>0</v>
      </c>
      <c r="AW86" s="4">
        <v>100</v>
      </c>
      <c r="AX86" s="4">
        <v>0</v>
      </c>
      <c r="AY86" s="4">
        <v>0</v>
      </c>
      <c r="AZ86" s="4">
        <v>3.66</v>
      </c>
      <c r="BA86" s="4">
        <v>14.9</v>
      </c>
      <c r="BB86" s="4">
        <v>68.2</v>
      </c>
      <c r="BC86" s="4">
        <v>74.8</v>
      </c>
      <c r="BD86" s="4">
        <v>3.97</v>
      </c>
      <c r="BE86" s="4">
        <v>7.5</v>
      </c>
      <c r="BF86" s="4">
        <v>14.6</v>
      </c>
      <c r="BG86" s="4">
        <v>-68.400000000000006</v>
      </c>
      <c r="BH86" s="4">
        <v>162</v>
      </c>
      <c r="BI86" s="4">
        <v>225</v>
      </c>
      <c r="BJ86" s="4">
        <v>271</v>
      </c>
      <c r="BK86" s="4">
        <v>382</v>
      </c>
      <c r="BL86" s="4">
        <v>104</v>
      </c>
      <c r="BM86" s="4">
        <v>-7.43</v>
      </c>
    </row>
    <row r="87" spans="1:65" x14ac:dyDescent="0.2">
      <c r="A87" s="4" t="s">
        <v>434</v>
      </c>
      <c r="B87" s="4">
        <v>7.9</v>
      </c>
      <c r="C87" s="4">
        <v>18.2</v>
      </c>
      <c r="D87" s="4">
        <v>0.96</v>
      </c>
      <c r="E87" s="4">
        <v>32.299999999999997</v>
      </c>
      <c r="F87" s="4">
        <v>48.3</v>
      </c>
      <c r="G87" s="4">
        <v>69.3</v>
      </c>
      <c r="H87" s="4">
        <v>0.22</v>
      </c>
      <c r="I87" s="4">
        <v>0.75</v>
      </c>
      <c r="J87" s="4">
        <v>3.04</v>
      </c>
      <c r="K87" s="4">
        <v>64.400000000000006</v>
      </c>
      <c r="L87" s="4">
        <v>32.299999999999997</v>
      </c>
      <c r="M87" s="4">
        <v>7.79</v>
      </c>
      <c r="N87" s="4">
        <v>42</v>
      </c>
      <c r="O87" s="4">
        <v>34.200000000000003</v>
      </c>
      <c r="P87" s="4">
        <v>8.99</v>
      </c>
      <c r="Q87" s="4">
        <v>29.4</v>
      </c>
      <c r="R87" s="4">
        <v>23.4</v>
      </c>
      <c r="S87" s="4">
        <v>21.5</v>
      </c>
      <c r="T87" s="4">
        <v>36.5</v>
      </c>
      <c r="U87" s="4">
        <v>18.600000000000001</v>
      </c>
      <c r="V87" s="4">
        <v>47</v>
      </c>
      <c r="W87" s="4">
        <v>18.7</v>
      </c>
      <c r="X87" s="4">
        <v>16.100000000000001</v>
      </c>
      <c r="Y87" s="4">
        <v>23.1</v>
      </c>
      <c r="Z87" s="4">
        <v>35.200000000000003</v>
      </c>
      <c r="AA87" s="4">
        <v>25.6</v>
      </c>
      <c r="AB87" s="4">
        <v>30.4</v>
      </c>
      <c r="AC87" s="4">
        <v>5.04</v>
      </c>
      <c r="AD87" s="4">
        <v>6.75</v>
      </c>
      <c r="AE87" s="4">
        <v>37.9</v>
      </c>
      <c r="AF87" s="4">
        <v>44.7</v>
      </c>
      <c r="AG87" s="4">
        <v>16.5</v>
      </c>
      <c r="AH87" s="4">
        <v>2.75</v>
      </c>
      <c r="AI87" s="4">
        <v>2.46</v>
      </c>
      <c r="AJ87" s="4">
        <v>80.7</v>
      </c>
      <c r="AK87" s="4">
        <v>12.8</v>
      </c>
      <c r="AL87" s="4">
        <v>14.4</v>
      </c>
      <c r="AM87" s="4">
        <v>35.4</v>
      </c>
      <c r="AN87" s="4">
        <v>0.49</v>
      </c>
      <c r="AO87" s="4">
        <v>1.79</v>
      </c>
      <c r="AP87" s="4">
        <v>0.74</v>
      </c>
      <c r="AQ87" s="4">
        <v>1.45</v>
      </c>
      <c r="AR87" s="4">
        <v>75.900000000000006</v>
      </c>
      <c r="AS87" s="4">
        <v>21.7</v>
      </c>
      <c r="AT87" s="4">
        <v>0.18</v>
      </c>
      <c r="AU87" s="4">
        <v>79.5</v>
      </c>
      <c r="AV87" s="4">
        <v>18.899999999999999</v>
      </c>
      <c r="AW87" s="4">
        <v>37.700000000000003</v>
      </c>
      <c r="AX87" s="4">
        <v>3.76</v>
      </c>
      <c r="AY87" s="4">
        <v>50.8</v>
      </c>
      <c r="AZ87" s="4">
        <v>2.72</v>
      </c>
      <c r="BA87" s="4">
        <v>6.15</v>
      </c>
      <c r="BB87" s="4">
        <v>61.4</v>
      </c>
      <c r="BC87" s="4">
        <v>67.2</v>
      </c>
      <c r="BD87" s="4">
        <v>4.13</v>
      </c>
      <c r="BE87" s="4">
        <v>5.19</v>
      </c>
      <c r="BF87" s="4">
        <v>25.6</v>
      </c>
      <c r="BG87" s="4">
        <v>-71.900000000000006</v>
      </c>
      <c r="BH87" s="4">
        <v>186</v>
      </c>
      <c r="BI87" s="4">
        <v>187</v>
      </c>
      <c r="BJ87" s="4">
        <v>249</v>
      </c>
      <c r="BK87" s="4">
        <v>224</v>
      </c>
      <c r="BL87" s="4">
        <v>112</v>
      </c>
      <c r="BM87" s="4">
        <v>-2.57</v>
      </c>
    </row>
    <row r="88" spans="1:65" x14ac:dyDescent="0.2">
      <c r="A88" s="4" t="s">
        <v>452</v>
      </c>
      <c r="B88" s="4">
        <v>10.8</v>
      </c>
      <c r="C88" s="4">
        <v>6.43</v>
      </c>
      <c r="D88" s="4">
        <v>0.73</v>
      </c>
      <c r="E88" s="4">
        <v>52.9</v>
      </c>
      <c r="F88" s="4">
        <v>36.700000000000003</v>
      </c>
      <c r="G88" s="4">
        <v>84.5</v>
      </c>
      <c r="H88" s="16">
        <v>7.6600000000000001E-3</v>
      </c>
      <c r="I88" s="4">
        <v>0.12</v>
      </c>
      <c r="J88" s="4">
        <v>3.04</v>
      </c>
      <c r="K88" s="4">
        <v>81.099999999999994</v>
      </c>
      <c r="L88" s="4">
        <v>46.2</v>
      </c>
      <c r="M88" s="4">
        <v>13.1</v>
      </c>
      <c r="N88" s="4">
        <v>54.4</v>
      </c>
      <c r="O88" s="4">
        <v>17.5</v>
      </c>
      <c r="P88" s="4">
        <v>9.6300000000000008</v>
      </c>
      <c r="Q88" s="4">
        <v>27.7</v>
      </c>
      <c r="R88" s="4">
        <v>36.1</v>
      </c>
      <c r="S88" s="4">
        <v>10.1</v>
      </c>
      <c r="T88" s="4">
        <v>28</v>
      </c>
      <c r="U88" s="4">
        <v>25.8</v>
      </c>
      <c r="V88" s="4">
        <v>55.6</v>
      </c>
      <c r="W88" s="4">
        <v>3.83</v>
      </c>
      <c r="X88" s="4">
        <v>15.1</v>
      </c>
      <c r="Y88" s="4">
        <v>21.9</v>
      </c>
      <c r="Z88" s="4">
        <v>34.299999999999997</v>
      </c>
      <c r="AA88" s="4">
        <v>28.7</v>
      </c>
      <c r="AB88" s="4">
        <v>32.9</v>
      </c>
      <c r="AC88" s="4">
        <v>2.85</v>
      </c>
      <c r="AD88" s="4">
        <v>5.53</v>
      </c>
      <c r="AE88" s="4">
        <v>8.59</v>
      </c>
      <c r="AF88" s="4">
        <v>82.5</v>
      </c>
      <c r="AG88" s="4">
        <v>2.02</v>
      </c>
      <c r="AH88" s="4">
        <v>32.6</v>
      </c>
      <c r="AI88" s="4">
        <v>0.82</v>
      </c>
      <c r="AJ88" s="4">
        <v>2.08</v>
      </c>
      <c r="AK88" s="4">
        <v>52.8</v>
      </c>
      <c r="AL88" s="4">
        <v>37.299999999999997</v>
      </c>
      <c r="AM88" s="4">
        <v>23.6</v>
      </c>
      <c r="AN88" s="4">
        <v>9.64</v>
      </c>
      <c r="AO88" s="4">
        <v>1.79</v>
      </c>
      <c r="AP88" s="4">
        <v>1.72</v>
      </c>
      <c r="AQ88" s="4">
        <v>1.19</v>
      </c>
      <c r="AR88" s="4">
        <v>62.9</v>
      </c>
      <c r="AS88" s="4">
        <v>25.7</v>
      </c>
      <c r="AT88" s="4">
        <v>11.1</v>
      </c>
      <c r="AU88" s="4">
        <v>83.5</v>
      </c>
      <c r="AV88" s="4">
        <v>15.6</v>
      </c>
      <c r="AW88" s="4">
        <v>12.7</v>
      </c>
      <c r="AX88" s="4">
        <v>14.5</v>
      </c>
      <c r="AY88" s="4">
        <v>69.099999999999994</v>
      </c>
      <c r="AZ88" s="4">
        <v>0.22</v>
      </c>
      <c r="BA88" s="4">
        <v>15</v>
      </c>
      <c r="BB88" s="4">
        <v>40.5</v>
      </c>
      <c r="BC88" s="4">
        <v>47.6</v>
      </c>
      <c r="BD88" s="4">
        <v>0.33</v>
      </c>
      <c r="BE88" s="4">
        <v>2.23</v>
      </c>
      <c r="BF88" s="4">
        <v>4.46</v>
      </c>
      <c r="BG88" s="4">
        <v>-19.600000000000001</v>
      </c>
      <c r="BH88" s="4">
        <v>493</v>
      </c>
      <c r="BI88" s="4">
        <v>412</v>
      </c>
      <c r="BJ88" s="4">
        <v>610</v>
      </c>
      <c r="BK88" s="4">
        <v>671</v>
      </c>
      <c r="BL88" s="4">
        <v>377</v>
      </c>
      <c r="BM88" s="4">
        <v>-16.7</v>
      </c>
    </row>
    <row r="89" spans="1:65" x14ac:dyDescent="0.2">
      <c r="A89" s="4" t="s">
        <v>518</v>
      </c>
      <c r="B89" s="4">
        <v>21.4</v>
      </c>
      <c r="C89" s="4">
        <v>2.81</v>
      </c>
      <c r="D89" s="4">
        <v>0.25</v>
      </c>
      <c r="E89" s="4">
        <v>29.2</v>
      </c>
      <c r="F89" s="4">
        <v>67.7</v>
      </c>
      <c r="G89" s="4">
        <v>50.3</v>
      </c>
      <c r="H89" s="4">
        <v>0.05</v>
      </c>
      <c r="I89" s="4">
        <v>1.65</v>
      </c>
      <c r="J89" s="4">
        <v>3.82</v>
      </c>
      <c r="K89" s="4">
        <v>45.6</v>
      </c>
      <c r="L89" s="4">
        <v>33.299999999999997</v>
      </c>
      <c r="M89" s="4">
        <v>4.99</v>
      </c>
      <c r="N89" s="4">
        <v>32.200000000000003</v>
      </c>
      <c r="O89" s="4">
        <v>33.299999999999997</v>
      </c>
      <c r="P89" s="4">
        <v>23.1</v>
      </c>
      <c r="Q89" s="4">
        <v>48.2</v>
      </c>
      <c r="R89" s="4">
        <v>21.5</v>
      </c>
      <c r="S89" s="4">
        <v>18.2</v>
      </c>
      <c r="T89" s="4">
        <v>50.6</v>
      </c>
      <c r="U89" s="4">
        <v>9.67</v>
      </c>
      <c r="V89" s="4">
        <v>23.1</v>
      </c>
      <c r="W89" s="4">
        <v>12.3</v>
      </c>
      <c r="X89" s="4">
        <v>28.1</v>
      </c>
      <c r="Y89" s="4">
        <v>11.3</v>
      </c>
      <c r="Z89" s="4">
        <v>34.6</v>
      </c>
      <c r="AA89" s="4">
        <v>25.9</v>
      </c>
      <c r="AB89" s="4">
        <v>11.7</v>
      </c>
      <c r="AC89" s="4">
        <v>13.4</v>
      </c>
      <c r="AD89" s="4">
        <v>27.7</v>
      </c>
      <c r="AE89" s="4">
        <v>27.2</v>
      </c>
      <c r="AF89" s="4">
        <v>21.2</v>
      </c>
      <c r="AG89" s="4">
        <v>15.4</v>
      </c>
      <c r="AH89" s="4">
        <v>4.22</v>
      </c>
      <c r="AI89" s="4">
        <v>31.2</v>
      </c>
      <c r="AJ89" s="4">
        <v>53.7</v>
      </c>
      <c r="AK89" s="4">
        <v>4.03</v>
      </c>
      <c r="AL89" s="4">
        <v>38.299999999999997</v>
      </c>
      <c r="AM89" s="4">
        <v>30.8</v>
      </c>
      <c r="AN89" s="4">
        <v>0.77</v>
      </c>
      <c r="AO89" s="4">
        <v>0.88</v>
      </c>
      <c r="AP89" s="4">
        <v>3.09</v>
      </c>
      <c r="AQ89" s="4">
        <v>4.83</v>
      </c>
      <c r="AR89" s="4">
        <v>68.7</v>
      </c>
      <c r="AS89" s="4">
        <v>29.4</v>
      </c>
      <c r="AT89" s="4">
        <v>1.85</v>
      </c>
      <c r="AU89" s="4">
        <v>73.7</v>
      </c>
      <c r="AV89" s="4">
        <v>20</v>
      </c>
      <c r="AW89" s="4">
        <v>19.8</v>
      </c>
      <c r="AX89" s="4">
        <v>2.44</v>
      </c>
      <c r="AY89" s="4">
        <v>74.099999999999994</v>
      </c>
      <c r="AZ89" s="4">
        <v>1.35</v>
      </c>
      <c r="BA89" s="4">
        <v>9.4600000000000009</v>
      </c>
      <c r="BB89" s="4">
        <v>53.2</v>
      </c>
      <c r="BC89" s="4">
        <v>50.5</v>
      </c>
      <c r="BD89" s="4">
        <v>3.41</v>
      </c>
      <c r="BE89" s="4">
        <v>3.54</v>
      </c>
      <c r="BF89" s="4">
        <v>10.3</v>
      </c>
      <c r="BG89" s="4">
        <v>30.4</v>
      </c>
      <c r="BH89" s="4">
        <v>195</v>
      </c>
      <c r="BI89" s="4">
        <v>113</v>
      </c>
      <c r="BJ89" s="4">
        <v>303</v>
      </c>
      <c r="BK89" s="4">
        <v>924</v>
      </c>
      <c r="BL89" s="4">
        <v>319</v>
      </c>
      <c r="BM89" s="4">
        <v>-20.6</v>
      </c>
    </row>
    <row r="90" spans="1:65" x14ac:dyDescent="0.2">
      <c r="A90" s="4" t="s">
        <v>519</v>
      </c>
      <c r="B90" s="4">
        <v>5.3</v>
      </c>
      <c r="C90" s="4">
        <v>20.5</v>
      </c>
      <c r="D90" s="4">
        <v>3.83</v>
      </c>
      <c r="E90" s="4">
        <v>29.9</v>
      </c>
      <c r="F90" s="4">
        <v>45.3</v>
      </c>
      <c r="G90" s="4">
        <v>78.599999999999994</v>
      </c>
      <c r="H90" s="4">
        <v>4.9000000000000002E-2</v>
      </c>
      <c r="I90" s="4">
        <v>0.61</v>
      </c>
      <c r="J90" s="4">
        <v>2.6</v>
      </c>
      <c r="K90" s="4">
        <v>75.400000000000006</v>
      </c>
      <c r="L90" s="4">
        <v>47</v>
      </c>
      <c r="M90" s="4">
        <v>5.07</v>
      </c>
      <c r="N90" s="4">
        <v>28.5</v>
      </c>
      <c r="O90" s="4">
        <v>23.9</v>
      </c>
      <c r="P90" s="4">
        <v>39.5</v>
      </c>
      <c r="Q90" s="4">
        <v>58.6</v>
      </c>
      <c r="R90" s="4">
        <v>44.8</v>
      </c>
      <c r="S90" s="4">
        <v>13.7</v>
      </c>
      <c r="T90" s="4">
        <v>29.4</v>
      </c>
      <c r="U90" s="4">
        <v>12.1</v>
      </c>
      <c r="V90" s="4">
        <v>28.7</v>
      </c>
      <c r="W90" s="4">
        <v>7.55</v>
      </c>
      <c r="X90" s="4">
        <v>23.2</v>
      </c>
      <c r="Y90" s="4">
        <v>14.7</v>
      </c>
      <c r="Z90" s="4">
        <v>49.5</v>
      </c>
      <c r="AA90" s="4">
        <v>12.6</v>
      </c>
      <c r="AB90" s="4">
        <v>26.7</v>
      </c>
      <c r="AC90" s="4">
        <v>9.5299999999999994</v>
      </c>
      <c r="AD90" s="4">
        <v>33.200000000000003</v>
      </c>
      <c r="AE90" s="4">
        <v>22.9</v>
      </c>
      <c r="AF90" s="4">
        <v>30.3</v>
      </c>
      <c r="AG90" s="4">
        <v>7.27</v>
      </c>
      <c r="AH90" s="4">
        <v>5.23</v>
      </c>
      <c r="AI90" s="4">
        <v>41.8</v>
      </c>
      <c r="AJ90" s="4">
        <v>45.8</v>
      </c>
      <c r="AK90" s="4">
        <v>0.98</v>
      </c>
      <c r="AL90" s="4">
        <v>13.2</v>
      </c>
      <c r="AM90" s="4">
        <v>28</v>
      </c>
      <c r="AN90" s="4">
        <v>2.4900000000000002</v>
      </c>
      <c r="AO90" s="4">
        <v>4.7699999999999996</v>
      </c>
      <c r="AP90" s="4">
        <v>2.54</v>
      </c>
      <c r="AQ90" s="4">
        <v>25.4</v>
      </c>
      <c r="AR90" s="4">
        <v>73.3</v>
      </c>
      <c r="AS90" s="4">
        <v>16.899999999999999</v>
      </c>
      <c r="AT90" s="4">
        <v>9.14</v>
      </c>
      <c r="AU90" s="4">
        <v>66</v>
      </c>
      <c r="AV90" s="4">
        <v>5.08</v>
      </c>
      <c r="AW90" s="4">
        <v>33.1</v>
      </c>
      <c r="AX90" s="4">
        <v>12.8</v>
      </c>
      <c r="AY90" s="4">
        <v>52.2</v>
      </c>
      <c r="AZ90" s="4">
        <v>1.95</v>
      </c>
      <c r="BA90" s="4">
        <v>13.7</v>
      </c>
      <c r="BB90" s="4">
        <v>68.7</v>
      </c>
      <c r="BC90" s="4">
        <v>69.5</v>
      </c>
      <c r="BD90" s="4">
        <v>2.33</v>
      </c>
      <c r="BE90" s="4">
        <v>6.72</v>
      </c>
      <c r="BF90" s="4">
        <v>63.5</v>
      </c>
      <c r="BG90" s="4">
        <v>-60.4</v>
      </c>
      <c r="BH90" s="4">
        <v>435</v>
      </c>
      <c r="BI90" s="4">
        <v>706</v>
      </c>
      <c r="BJ90" s="4">
        <v>242</v>
      </c>
      <c r="BK90" s="4">
        <v>608</v>
      </c>
      <c r="BL90" s="4">
        <v>398</v>
      </c>
      <c r="BM90" s="4">
        <v>-19.7</v>
      </c>
    </row>
    <row r="91" spans="1:65" x14ac:dyDescent="0.2">
      <c r="A91" s="4" t="s">
        <v>520</v>
      </c>
      <c r="B91" s="4">
        <v>7.56</v>
      </c>
      <c r="C91" s="4">
        <v>3.47</v>
      </c>
      <c r="D91" s="4">
        <v>0.31</v>
      </c>
      <c r="E91" s="4">
        <v>30.4</v>
      </c>
      <c r="F91" s="4">
        <v>65.8</v>
      </c>
      <c r="G91" s="4">
        <v>60.4</v>
      </c>
      <c r="H91" s="4">
        <v>0.13</v>
      </c>
      <c r="I91" s="4">
        <v>0.22</v>
      </c>
      <c r="J91" s="4">
        <v>1.6</v>
      </c>
      <c r="K91" s="4">
        <v>58.4</v>
      </c>
      <c r="L91" s="4">
        <v>26.4</v>
      </c>
      <c r="M91" s="4">
        <v>10.199999999999999</v>
      </c>
      <c r="N91" s="4">
        <v>33.9</v>
      </c>
      <c r="O91" s="4">
        <v>20.7</v>
      </c>
      <c r="P91" s="4">
        <v>26</v>
      </c>
      <c r="Q91" s="4">
        <v>45</v>
      </c>
      <c r="R91" s="4">
        <v>41.7</v>
      </c>
      <c r="S91" s="4">
        <v>7.76</v>
      </c>
      <c r="T91" s="4">
        <v>36.200000000000003</v>
      </c>
      <c r="U91" s="4">
        <v>14.4</v>
      </c>
      <c r="V91" s="4">
        <v>30.2</v>
      </c>
      <c r="W91" s="4">
        <v>6.93</v>
      </c>
      <c r="X91" s="4">
        <v>23.8</v>
      </c>
      <c r="Y91" s="4">
        <v>8.6999999999999993</v>
      </c>
      <c r="Z91" s="4">
        <v>50.9</v>
      </c>
      <c r="AA91" s="4">
        <v>16.5</v>
      </c>
      <c r="AB91" s="4">
        <v>29.8</v>
      </c>
      <c r="AC91" s="4">
        <v>1.01</v>
      </c>
      <c r="AD91" s="4">
        <v>21.2</v>
      </c>
      <c r="AE91" s="4">
        <v>64.5</v>
      </c>
      <c r="AF91" s="4">
        <v>12.2</v>
      </c>
      <c r="AG91" s="4">
        <v>23</v>
      </c>
      <c r="AH91" s="4">
        <v>16.3</v>
      </c>
      <c r="AI91" s="4">
        <v>9.1</v>
      </c>
      <c r="AJ91" s="4">
        <v>32.5</v>
      </c>
      <c r="AK91" s="4">
        <v>38.799999999999997</v>
      </c>
      <c r="AL91" s="4">
        <v>16.3</v>
      </c>
      <c r="AM91" s="4">
        <v>50.1</v>
      </c>
      <c r="AN91" s="4">
        <v>1.43</v>
      </c>
      <c r="AO91" s="4">
        <v>4.79</v>
      </c>
      <c r="AP91" s="4">
        <v>0.23</v>
      </c>
      <c r="AQ91" s="4">
        <v>1.51</v>
      </c>
      <c r="AR91" s="4">
        <v>95.5</v>
      </c>
      <c r="AS91" s="4">
        <v>0.26</v>
      </c>
      <c r="AT91" s="4">
        <v>2.4500000000000002</v>
      </c>
      <c r="AU91" s="4">
        <v>99.2</v>
      </c>
      <c r="AV91" s="4">
        <v>2.5000000000000001E-2</v>
      </c>
      <c r="AW91" s="4">
        <v>20.5</v>
      </c>
      <c r="AX91" s="4">
        <v>26.9</v>
      </c>
      <c r="AY91" s="4">
        <v>50.1</v>
      </c>
      <c r="AZ91" s="4">
        <v>7.63</v>
      </c>
      <c r="BA91" s="4">
        <v>63.7</v>
      </c>
      <c r="BB91" s="4">
        <v>93.1</v>
      </c>
      <c r="BC91" s="4">
        <v>94.4</v>
      </c>
      <c r="BD91" s="4">
        <v>6.91</v>
      </c>
      <c r="BE91" s="4">
        <v>18.5</v>
      </c>
      <c r="BF91" s="4">
        <v>32.5</v>
      </c>
      <c r="BG91" s="4">
        <v>65.2</v>
      </c>
      <c r="BH91" s="4">
        <v>574</v>
      </c>
      <c r="BI91" s="4">
        <v>677</v>
      </c>
      <c r="BJ91" s="4">
        <v>440</v>
      </c>
      <c r="BK91" s="4">
        <v>383</v>
      </c>
      <c r="BL91" s="4">
        <v>225</v>
      </c>
      <c r="BM91" s="4">
        <v>21.4</v>
      </c>
    </row>
    <row r="92" spans="1:65" x14ac:dyDescent="0.2">
      <c r="A92" s="4" t="s">
        <v>429</v>
      </c>
      <c r="B92" s="4">
        <v>13.2</v>
      </c>
      <c r="C92" s="4">
        <v>2.5499999999999998</v>
      </c>
      <c r="D92" s="4">
        <v>0.23</v>
      </c>
      <c r="E92" s="4">
        <v>14</v>
      </c>
      <c r="F92" s="4">
        <v>83.2</v>
      </c>
      <c r="G92" s="4">
        <v>61.4</v>
      </c>
      <c r="H92" s="4">
        <v>2.5000000000000001E-2</v>
      </c>
      <c r="I92" s="4">
        <v>0.13</v>
      </c>
      <c r="J92" s="4">
        <v>2.72</v>
      </c>
      <c r="K92" s="4">
        <v>57.6</v>
      </c>
      <c r="L92" s="4">
        <v>34</v>
      </c>
      <c r="M92" s="4">
        <v>5.07</v>
      </c>
      <c r="N92" s="4">
        <v>39.299999999999997</v>
      </c>
      <c r="O92" s="4">
        <v>26.4</v>
      </c>
      <c r="P92" s="4">
        <v>25.8</v>
      </c>
      <c r="Q92" s="4">
        <v>53.1</v>
      </c>
      <c r="R92" s="4">
        <v>69.2</v>
      </c>
      <c r="S92" s="4">
        <v>1.57</v>
      </c>
      <c r="T92" s="4">
        <v>8.58</v>
      </c>
      <c r="U92" s="4">
        <v>20.7</v>
      </c>
      <c r="V92" s="4">
        <v>39</v>
      </c>
      <c r="W92" s="4">
        <v>2.0499999999999998</v>
      </c>
      <c r="X92" s="4">
        <v>53.9</v>
      </c>
      <c r="Y92" s="4">
        <v>3.35</v>
      </c>
      <c r="Z92" s="4">
        <v>21.1</v>
      </c>
      <c r="AA92" s="4">
        <v>21.6</v>
      </c>
      <c r="AB92" s="4">
        <v>21.8</v>
      </c>
      <c r="AC92" s="4">
        <v>8.1300000000000008</v>
      </c>
      <c r="AD92" s="4">
        <v>17</v>
      </c>
      <c r="AE92" s="4">
        <v>43.9</v>
      </c>
      <c r="AF92" s="4">
        <v>26.6</v>
      </c>
      <c r="AG92" s="4">
        <v>11.8</v>
      </c>
      <c r="AH92" s="4">
        <v>12.6</v>
      </c>
      <c r="AI92" s="4">
        <v>22</v>
      </c>
      <c r="AJ92" s="4">
        <v>55.5</v>
      </c>
      <c r="AK92" s="4">
        <v>8.24</v>
      </c>
      <c r="AL92" s="4">
        <v>23.8</v>
      </c>
      <c r="AM92" s="4">
        <v>38.799999999999997</v>
      </c>
      <c r="AN92" s="4">
        <v>0.56999999999999995</v>
      </c>
      <c r="AO92" s="4">
        <v>1.75</v>
      </c>
      <c r="AP92" s="4">
        <v>1.04</v>
      </c>
      <c r="AQ92" s="4">
        <v>0.67</v>
      </c>
      <c r="AR92" s="4">
        <v>67.900000000000006</v>
      </c>
      <c r="AS92" s="4">
        <v>29.4</v>
      </c>
      <c r="AT92" s="4">
        <v>0.35</v>
      </c>
      <c r="AU92" s="4">
        <v>62.2</v>
      </c>
      <c r="AV92" s="4">
        <v>36.5</v>
      </c>
      <c r="AW92" s="4">
        <v>21.6</v>
      </c>
      <c r="AX92" s="4">
        <v>6.24</v>
      </c>
      <c r="AY92" s="4">
        <v>66.2</v>
      </c>
      <c r="AZ92" s="4">
        <v>3.27</v>
      </c>
      <c r="BA92" s="4">
        <v>12.2</v>
      </c>
      <c r="BB92" s="4">
        <v>56.4</v>
      </c>
      <c r="BC92" s="4">
        <v>67.099999999999994</v>
      </c>
      <c r="BD92" s="4">
        <v>3.94</v>
      </c>
      <c r="BE92" s="4">
        <v>6.81</v>
      </c>
      <c r="BF92" s="4">
        <v>28</v>
      </c>
      <c r="BG92" s="4">
        <v>-43.7</v>
      </c>
      <c r="BH92" s="4">
        <v>213</v>
      </c>
      <c r="BI92" s="4">
        <v>110</v>
      </c>
      <c r="BJ92" s="4">
        <v>220</v>
      </c>
      <c r="BK92" s="4">
        <v>225</v>
      </c>
      <c r="BL92" s="4">
        <v>93.5</v>
      </c>
      <c r="BM92" s="4">
        <v>3.45</v>
      </c>
    </row>
    <row r="93" spans="1:65" x14ac:dyDescent="0.2">
      <c r="A93" s="4" t="s">
        <v>521</v>
      </c>
      <c r="B93" s="4">
        <v>3.49</v>
      </c>
      <c r="C93" s="4">
        <v>16.100000000000001</v>
      </c>
      <c r="D93" s="4">
        <v>0.36</v>
      </c>
      <c r="E93" s="4">
        <v>72.2</v>
      </c>
      <c r="F93" s="4">
        <v>11.4</v>
      </c>
      <c r="G93" s="4">
        <v>71.7</v>
      </c>
      <c r="H93" s="4">
        <v>1.7999999999999999E-2</v>
      </c>
      <c r="I93" s="4">
        <v>0.19</v>
      </c>
      <c r="J93" s="4">
        <v>1.05</v>
      </c>
      <c r="K93" s="4">
        <v>70.400000000000006</v>
      </c>
      <c r="L93" s="4">
        <v>39.4</v>
      </c>
      <c r="M93" s="4">
        <v>4.8899999999999997</v>
      </c>
      <c r="N93" s="4">
        <v>64.400000000000006</v>
      </c>
      <c r="O93" s="4">
        <v>16.399999999999999</v>
      </c>
      <c r="P93" s="4">
        <v>9.33</v>
      </c>
      <c r="Q93" s="4">
        <v>23</v>
      </c>
      <c r="R93" s="4">
        <v>35.700000000000003</v>
      </c>
      <c r="S93" s="4">
        <v>13.8</v>
      </c>
      <c r="T93" s="4">
        <v>28.9</v>
      </c>
      <c r="U93" s="4">
        <v>21.6</v>
      </c>
      <c r="V93" s="4">
        <v>66.900000000000006</v>
      </c>
      <c r="W93" s="4">
        <v>6.15</v>
      </c>
      <c r="X93" s="4">
        <v>37.9</v>
      </c>
      <c r="Y93" s="4">
        <v>8.99</v>
      </c>
      <c r="Z93" s="4">
        <v>27.8</v>
      </c>
      <c r="AA93" s="4">
        <v>25.3</v>
      </c>
      <c r="AB93" s="4">
        <v>30</v>
      </c>
      <c r="AC93" s="4">
        <v>1.05</v>
      </c>
      <c r="AD93" s="4">
        <v>0.93</v>
      </c>
      <c r="AE93" s="4">
        <v>0.83</v>
      </c>
      <c r="AF93" s="4">
        <v>96</v>
      </c>
      <c r="AG93" s="4">
        <v>22.5</v>
      </c>
      <c r="AH93" s="4">
        <v>7.17</v>
      </c>
      <c r="AI93" s="4">
        <v>2.57</v>
      </c>
      <c r="AJ93" s="4">
        <v>38.200000000000003</v>
      </c>
      <c r="AK93" s="4">
        <v>50.2</v>
      </c>
      <c r="AL93" s="4">
        <v>28.7</v>
      </c>
      <c r="AM93" s="4">
        <v>39.1</v>
      </c>
      <c r="AN93" s="4">
        <v>0.43</v>
      </c>
      <c r="AO93" s="4">
        <v>1.01</v>
      </c>
      <c r="AP93" s="4">
        <v>0.27</v>
      </c>
      <c r="AQ93" s="4">
        <v>9.6000000000000002E-2</v>
      </c>
      <c r="AR93" s="4">
        <v>79.7</v>
      </c>
      <c r="AS93" s="4">
        <v>19</v>
      </c>
      <c r="AT93" s="4">
        <v>1.31</v>
      </c>
      <c r="AU93" s="4">
        <v>81.7</v>
      </c>
      <c r="AV93" s="4">
        <v>18.100000000000001</v>
      </c>
      <c r="AW93" s="4">
        <v>11.5</v>
      </c>
      <c r="AX93" s="4">
        <v>7.34</v>
      </c>
      <c r="AY93" s="4">
        <v>77.5</v>
      </c>
      <c r="AZ93" s="4">
        <v>0.92</v>
      </c>
      <c r="BA93" s="4">
        <v>2.2200000000000002</v>
      </c>
      <c r="BB93" s="4">
        <v>9</v>
      </c>
      <c r="BC93" s="4">
        <v>3.62</v>
      </c>
      <c r="BD93" s="4">
        <v>5.71</v>
      </c>
      <c r="BE93" s="4">
        <v>4.13</v>
      </c>
      <c r="BF93" s="4">
        <v>5.82</v>
      </c>
      <c r="BG93" s="4">
        <v>-86.3</v>
      </c>
      <c r="BH93" s="4">
        <v>202</v>
      </c>
      <c r="BI93" s="4">
        <v>155</v>
      </c>
      <c r="BJ93" s="4">
        <v>285</v>
      </c>
      <c r="BK93" s="4">
        <v>791</v>
      </c>
      <c r="BL93" s="4">
        <v>199</v>
      </c>
      <c r="BM93" s="4">
        <v>-24.1</v>
      </c>
    </row>
    <row r="94" spans="1:65" x14ac:dyDescent="0.2">
      <c r="A94" s="4" t="s">
        <v>522</v>
      </c>
      <c r="B94" s="4">
        <v>5.97</v>
      </c>
      <c r="C94" s="4">
        <v>15.1</v>
      </c>
      <c r="D94" s="4">
        <v>0.49</v>
      </c>
      <c r="E94" s="4">
        <v>40.5</v>
      </c>
      <c r="F94" s="4">
        <v>43.7</v>
      </c>
      <c r="G94" s="4">
        <v>70.900000000000006</v>
      </c>
      <c r="H94" s="4">
        <v>4.5999999999999999E-2</v>
      </c>
      <c r="I94" s="4">
        <v>0.52</v>
      </c>
      <c r="J94" s="4">
        <v>2.52</v>
      </c>
      <c r="K94" s="4">
        <v>67.8</v>
      </c>
      <c r="L94" s="4">
        <v>40.200000000000003</v>
      </c>
      <c r="M94" s="4">
        <v>7.57</v>
      </c>
      <c r="N94" s="4">
        <v>57.5</v>
      </c>
      <c r="O94" s="4">
        <v>19.7</v>
      </c>
      <c r="P94" s="4">
        <v>10.8</v>
      </c>
      <c r="Q94" s="4">
        <v>24.7</v>
      </c>
      <c r="R94" s="4">
        <v>39.200000000000003</v>
      </c>
      <c r="S94" s="4">
        <v>13</v>
      </c>
      <c r="T94" s="4">
        <v>33.4</v>
      </c>
      <c r="U94" s="4">
        <v>14.5</v>
      </c>
      <c r="V94" s="4">
        <v>60</v>
      </c>
      <c r="W94" s="4">
        <v>8.7100000000000009</v>
      </c>
      <c r="X94" s="4">
        <v>31.3</v>
      </c>
      <c r="Y94" s="4">
        <v>9.0500000000000007</v>
      </c>
      <c r="Z94" s="4">
        <v>43.3</v>
      </c>
      <c r="AA94" s="4">
        <v>16.3</v>
      </c>
      <c r="AB94" s="4">
        <v>25.5</v>
      </c>
      <c r="AC94" s="4">
        <v>2.67</v>
      </c>
      <c r="AD94" s="4">
        <v>6.73</v>
      </c>
      <c r="AE94" s="4">
        <v>20.5</v>
      </c>
      <c r="AF94" s="4">
        <v>67.8</v>
      </c>
      <c r="AG94" s="4">
        <v>19.100000000000001</v>
      </c>
      <c r="AH94" s="4">
        <v>6.8</v>
      </c>
      <c r="AI94" s="4">
        <v>8.44</v>
      </c>
      <c r="AJ94" s="4">
        <v>59</v>
      </c>
      <c r="AK94" s="4">
        <v>22.5</v>
      </c>
      <c r="AL94" s="4">
        <v>16.899999999999999</v>
      </c>
      <c r="AM94" s="4">
        <v>44.9</v>
      </c>
      <c r="AN94" s="4">
        <v>0.51</v>
      </c>
      <c r="AO94" s="4">
        <v>2.14</v>
      </c>
      <c r="AP94" s="4">
        <v>0.35</v>
      </c>
      <c r="AQ94" s="4">
        <v>0.65</v>
      </c>
      <c r="AR94" s="4">
        <v>56.1</v>
      </c>
      <c r="AS94" s="4">
        <v>40.799999999999997</v>
      </c>
      <c r="AT94" s="4">
        <v>2.98</v>
      </c>
      <c r="AU94" s="4">
        <v>77.900000000000006</v>
      </c>
      <c r="AV94" s="4">
        <v>21.3</v>
      </c>
      <c r="AW94" s="4">
        <v>20</v>
      </c>
      <c r="AX94" s="4">
        <v>6.76</v>
      </c>
      <c r="AY94" s="4">
        <v>69.099999999999994</v>
      </c>
      <c r="AZ94" s="4">
        <v>0.82</v>
      </c>
      <c r="BA94" s="4">
        <v>13.3</v>
      </c>
      <c r="BB94" s="4">
        <v>47.4</v>
      </c>
      <c r="BC94" s="4">
        <v>72.2</v>
      </c>
      <c r="BD94" s="4">
        <v>2.31</v>
      </c>
      <c r="BE94" s="4">
        <v>4.92</v>
      </c>
      <c r="BF94" s="4">
        <v>16.5</v>
      </c>
      <c r="BG94" s="4">
        <v>-86.6</v>
      </c>
      <c r="BH94" s="4">
        <v>338</v>
      </c>
      <c r="BI94" s="4">
        <v>446</v>
      </c>
      <c r="BJ94" s="4">
        <v>496</v>
      </c>
      <c r="BK94" s="4">
        <v>859</v>
      </c>
      <c r="BL94" s="4">
        <v>205</v>
      </c>
      <c r="BM94" s="4">
        <v>-23</v>
      </c>
    </row>
    <row r="95" spans="1:65" x14ac:dyDescent="0.2">
      <c r="A95" s="4" t="s">
        <v>451</v>
      </c>
      <c r="B95" s="4">
        <v>12.8</v>
      </c>
      <c r="C95" s="4">
        <v>1.79</v>
      </c>
      <c r="D95" s="4">
        <v>0.31</v>
      </c>
      <c r="E95" s="4">
        <v>16.3</v>
      </c>
      <c r="F95" s="4">
        <v>78.3</v>
      </c>
      <c r="G95" s="4">
        <v>70.900000000000006</v>
      </c>
      <c r="H95" s="4">
        <v>2.1000000000000001E-2</v>
      </c>
      <c r="I95" s="4">
        <v>0.18</v>
      </c>
      <c r="J95" s="4">
        <v>2.98</v>
      </c>
      <c r="K95" s="4">
        <v>67.599999999999994</v>
      </c>
      <c r="L95" s="4">
        <v>31.6</v>
      </c>
      <c r="M95" s="4">
        <v>18.8</v>
      </c>
      <c r="N95" s="4">
        <v>24.4</v>
      </c>
      <c r="O95" s="4">
        <v>19.899999999999999</v>
      </c>
      <c r="P95" s="4">
        <v>31.5</v>
      </c>
      <c r="Q95" s="4">
        <v>47.8</v>
      </c>
      <c r="R95" s="4">
        <v>29.4</v>
      </c>
      <c r="S95" s="4">
        <v>15.7</v>
      </c>
      <c r="T95" s="4">
        <v>27.5</v>
      </c>
      <c r="U95" s="4">
        <v>27.4</v>
      </c>
      <c r="V95" s="4">
        <v>24.1</v>
      </c>
      <c r="W95" s="4">
        <v>6.47</v>
      </c>
      <c r="X95" s="4">
        <v>19.3</v>
      </c>
      <c r="Y95" s="4">
        <v>15.9</v>
      </c>
      <c r="Z95" s="4">
        <v>35.700000000000003</v>
      </c>
      <c r="AA95" s="4">
        <v>29.1</v>
      </c>
      <c r="AB95" s="4">
        <v>34.799999999999997</v>
      </c>
      <c r="AC95" s="4">
        <v>1.83</v>
      </c>
      <c r="AD95" s="4">
        <v>17.2</v>
      </c>
      <c r="AE95" s="4">
        <v>63.4</v>
      </c>
      <c r="AF95" s="4">
        <v>15.2</v>
      </c>
      <c r="AG95" s="4">
        <v>12.3</v>
      </c>
      <c r="AH95" s="4">
        <v>9.41</v>
      </c>
      <c r="AI95" s="4">
        <v>5.44</v>
      </c>
      <c r="AJ95" s="4">
        <v>52.2</v>
      </c>
      <c r="AK95" s="4">
        <v>26.7</v>
      </c>
      <c r="AL95" s="4">
        <v>20</v>
      </c>
      <c r="AM95" s="4">
        <v>25.1</v>
      </c>
      <c r="AN95" s="4">
        <v>0.27</v>
      </c>
      <c r="AO95" s="4">
        <v>0.42</v>
      </c>
      <c r="AP95" s="4">
        <v>0.95</v>
      </c>
      <c r="AQ95" s="4">
        <v>1.49</v>
      </c>
      <c r="AR95" s="4">
        <v>63.4</v>
      </c>
      <c r="AS95" s="4">
        <v>35.799999999999997</v>
      </c>
      <c r="AT95" s="4">
        <v>0.74</v>
      </c>
      <c r="AU95" s="4">
        <v>72.400000000000006</v>
      </c>
      <c r="AV95" s="4">
        <v>26</v>
      </c>
      <c r="AW95" s="4">
        <v>26.7</v>
      </c>
      <c r="AX95" s="4">
        <v>11.9</v>
      </c>
      <c r="AY95" s="4">
        <v>53.6</v>
      </c>
      <c r="AZ95" s="4">
        <v>0.57999999999999996</v>
      </c>
      <c r="BA95" s="4">
        <v>14.3</v>
      </c>
      <c r="BB95" s="4">
        <v>61.4</v>
      </c>
      <c r="BC95" s="4">
        <v>57.3</v>
      </c>
      <c r="BD95" s="4">
        <v>1.53</v>
      </c>
      <c r="BE95" s="4">
        <v>2.69</v>
      </c>
      <c r="BF95" s="4">
        <v>15.3</v>
      </c>
      <c r="BG95" s="4">
        <v>15.5</v>
      </c>
      <c r="BH95" s="4">
        <v>473</v>
      </c>
      <c r="BI95" s="4">
        <v>448</v>
      </c>
      <c r="BJ95" s="4">
        <v>392</v>
      </c>
      <c r="BK95" s="4">
        <v>852</v>
      </c>
      <c r="BL95" s="4">
        <v>147</v>
      </c>
      <c r="BM95" s="4">
        <v>-12.3</v>
      </c>
    </row>
    <row r="96" spans="1:65" x14ac:dyDescent="0.2">
      <c r="A96" s="4" t="s">
        <v>449</v>
      </c>
      <c r="B96" s="4">
        <v>12.9</v>
      </c>
      <c r="C96" s="4">
        <v>9.94</v>
      </c>
      <c r="D96" s="4">
        <v>0.14000000000000001</v>
      </c>
      <c r="E96" s="4">
        <v>35.5</v>
      </c>
      <c r="F96" s="4">
        <v>52</v>
      </c>
      <c r="G96" s="4">
        <v>62.3</v>
      </c>
      <c r="H96" s="4">
        <v>0.42</v>
      </c>
      <c r="I96" s="4">
        <v>0.51</v>
      </c>
      <c r="J96" s="4">
        <v>1.59</v>
      </c>
      <c r="K96" s="4">
        <v>59.5</v>
      </c>
      <c r="L96" s="4">
        <v>50.6</v>
      </c>
      <c r="M96" s="4">
        <v>10.6</v>
      </c>
      <c r="N96" s="4">
        <v>21.2</v>
      </c>
      <c r="O96" s="4">
        <v>51.3</v>
      </c>
      <c r="P96" s="4">
        <v>14.2</v>
      </c>
      <c r="Q96" s="4">
        <v>60.9</v>
      </c>
      <c r="R96" s="4">
        <v>74</v>
      </c>
      <c r="S96" s="4">
        <v>2.56</v>
      </c>
      <c r="T96" s="4">
        <v>9.57</v>
      </c>
      <c r="U96" s="4">
        <v>13.9</v>
      </c>
      <c r="V96" s="4">
        <v>22.5</v>
      </c>
      <c r="W96" s="4">
        <v>6.88</v>
      </c>
      <c r="X96" s="4">
        <v>39</v>
      </c>
      <c r="Y96" s="4">
        <v>8.24</v>
      </c>
      <c r="Z96" s="4">
        <v>26.4</v>
      </c>
      <c r="AA96" s="4">
        <v>26.4</v>
      </c>
      <c r="AB96" s="4">
        <v>7.83</v>
      </c>
      <c r="AC96" s="4">
        <v>11.8</v>
      </c>
      <c r="AD96" s="4">
        <v>8.84</v>
      </c>
      <c r="AE96" s="4">
        <v>9.0500000000000007</v>
      </c>
      <c r="AF96" s="4">
        <v>63.1</v>
      </c>
      <c r="AG96" s="4">
        <v>21.3</v>
      </c>
      <c r="AH96" s="4">
        <v>14.6</v>
      </c>
      <c r="AI96" s="4">
        <v>20.6</v>
      </c>
      <c r="AJ96" s="4">
        <v>49</v>
      </c>
      <c r="AK96" s="4">
        <v>5.81</v>
      </c>
      <c r="AL96" s="4">
        <v>14.2</v>
      </c>
      <c r="AM96" s="4">
        <v>3.42</v>
      </c>
      <c r="AN96" s="4">
        <v>0.55000000000000004</v>
      </c>
      <c r="AO96" s="4">
        <v>0.14000000000000001</v>
      </c>
      <c r="AP96" s="4">
        <v>3.34</v>
      </c>
      <c r="AQ96" s="4">
        <v>3.12</v>
      </c>
      <c r="AR96" s="4">
        <v>49.7</v>
      </c>
      <c r="AS96" s="4">
        <v>48.9</v>
      </c>
      <c r="AT96" s="4">
        <v>1.26</v>
      </c>
      <c r="AU96" s="4">
        <v>56.2</v>
      </c>
      <c r="AV96" s="4">
        <v>37.9</v>
      </c>
      <c r="AW96" s="4">
        <v>57</v>
      </c>
      <c r="AX96" s="4">
        <v>8.2200000000000006</v>
      </c>
      <c r="AY96" s="4">
        <v>25.4</v>
      </c>
      <c r="AZ96" s="4">
        <v>0.2</v>
      </c>
      <c r="BA96" s="4">
        <v>7.64</v>
      </c>
      <c r="BB96" s="4">
        <v>35.6</v>
      </c>
      <c r="BC96" s="4">
        <v>47.8</v>
      </c>
      <c r="BD96" s="4">
        <v>0.6</v>
      </c>
      <c r="BE96" s="4">
        <v>1.97</v>
      </c>
      <c r="BF96" s="4">
        <v>2.98</v>
      </c>
      <c r="BG96" s="4">
        <v>-74.599999999999994</v>
      </c>
      <c r="BH96" s="4">
        <v>201</v>
      </c>
      <c r="BI96" s="4">
        <v>196</v>
      </c>
      <c r="BJ96" s="4">
        <v>340</v>
      </c>
      <c r="BK96" s="4">
        <v>720</v>
      </c>
      <c r="BL96" s="4">
        <v>350</v>
      </c>
      <c r="BM96" s="4">
        <v>-31.8</v>
      </c>
    </row>
    <row r="97" spans="1:65" x14ac:dyDescent="0.2">
      <c r="A97" s="32" t="s">
        <v>448</v>
      </c>
      <c r="B97" s="32">
        <v>33.299999999999997</v>
      </c>
      <c r="C97" s="32">
        <v>7.31</v>
      </c>
      <c r="D97" s="32">
        <v>0.53</v>
      </c>
      <c r="E97" s="32">
        <v>35.6</v>
      </c>
      <c r="F97" s="32">
        <v>54.5</v>
      </c>
      <c r="G97" s="32">
        <v>47.1</v>
      </c>
      <c r="H97" s="32">
        <v>1.4E-2</v>
      </c>
      <c r="I97" s="32">
        <v>0.13</v>
      </c>
      <c r="J97" s="32">
        <v>1.48</v>
      </c>
      <c r="K97" s="32">
        <v>45.2</v>
      </c>
      <c r="L97" s="32">
        <v>29.3</v>
      </c>
      <c r="M97" s="32">
        <v>2.71</v>
      </c>
      <c r="N97" s="32">
        <v>53.2</v>
      </c>
      <c r="O97" s="32">
        <v>6.18</v>
      </c>
      <c r="P97" s="32">
        <v>32.1</v>
      </c>
      <c r="Q97" s="32">
        <v>41.6</v>
      </c>
      <c r="R97" s="32">
        <v>80.900000000000006</v>
      </c>
      <c r="S97" s="32">
        <v>0.82</v>
      </c>
      <c r="T97" s="32">
        <v>9.15</v>
      </c>
      <c r="U97" s="32">
        <v>9.11</v>
      </c>
      <c r="V97" s="32">
        <v>26.5</v>
      </c>
      <c r="W97" s="32">
        <v>1.37</v>
      </c>
      <c r="X97" s="32">
        <v>46.3</v>
      </c>
      <c r="Y97" s="32">
        <v>7.21</v>
      </c>
      <c r="Z97" s="32">
        <v>30.4</v>
      </c>
      <c r="AA97" s="32">
        <v>16.100000000000001</v>
      </c>
      <c r="AB97" s="32">
        <v>15.3</v>
      </c>
      <c r="AC97" s="32">
        <v>1.29</v>
      </c>
      <c r="AD97" s="32">
        <v>10.4</v>
      </c>
      <c r="AE97" s="32">
        <v>56.8</v>
      </c>
      <c r="AF97" s="32">
        <v>29.9</v>
      </c>
      <c r="AG97" s="32">
        <v>12.3</v>
      </c>
      <c r="AH97" s="32">
        <v>14.6</v>
      </c>
      <c r="AI97" s="32">
        <v>14</v>
      </c>
      <c r="AJ97" s="32">
        <v>46.5</v>
      </c>
      <c r="AK97" s="32">
        <v>14.5</v>
      </c>
      <c r="AL97" s="32">
        <v>16.399999999999999</v>
      </c>
      <c r="AM97" s="32">
        <v>6.11</v>
      </c>
      <c r="AN97" s="32">
        <v>0.49</v>
      </c>
      <c r="AO97" s="32">
        <v>0.23</v>
      </c>
      <c r="AP97" s="32">
        <v>1.22</v>
      </c>
      <c r="AQ97" s="32">
        <v>2.04</v>
      </c>
      <c r="AR97" s="32">
        <v>55.3</v>
      </c>
      <c r="AS97" s="32">
        <v>43.9</v>
      </c>
      <c r="AT97" s="32">
        <v>0.81</v>
      </c>
      <c r="AU97" s="32">
        <v>68.099999999999994</v>
      </c>
      <c r="AV97" s="32">
        <v>29.3</v>
      </c>
      <c r="AW97" s="32">
        <v>54.8</v>
      </c>
      <c r="AX97" s="32">
        <v>8.2899999999999991</v>
      </c>
      <c r="AY97" s="32">
        <v>30.5</v>
      </c>
      <c r="AZ97" s="32">
        <v>0.64</v>
      </c>
      <c r="BA97" s="32">
        <v>27.1</v>
      </c>
      <c r="BB97" s="32">
        <v>61.5</v>
      </c>
      <c r="BC97" s="32">
        <v>72.400000000000006</v>
      </c>
      <c r="BD97" s="32">
        <v>1.97</v>
      </c>
      <c r="BE97" s="32">
        <v>12.7</v>
      </c>
      <c r="BF97" s="32">
        <v>62.8</v>
      </c>
      <c r="BG97" s="32">
        <v>28.3</v>
      </c>
      <c r="BH97" s="32">
        <v>598</v>
      </c>
      <c r="BI97" s="32">
        <v>729</v>
      </c>
      <c r="BJ97" s="32">
        <v>784</v>
      </c>
      <c r="BK97" s="32">
        <v>557</v>
      </c>
      <c r="BL97" s="32">
        <v>136</v>
      </c>
      <c r="BM97" s="32">
        <v>13.2</v>
      </c>
    </row>
    <row r="98" spans="1:65" x14ac:dyDescent="0.2">
      <c r="A98" s="4" t="s">
        <v>447</v>
      </c>
      <c r="B98" s="4">
        <v>9.3699999999999992</v>
      </c>
      <c r="C98" s="4">
        <v>4.9400000000000004</v>
      </c>
      <c r="D98" s="4">
        <v>0.15</v>
      </c>
      <c r="E98" s="4">
        <v>60.2</v>
      </c>
      <c r="F98" s="4">
        <v>28.8</v>
      </c>
      <c r="G98" s="4">
        <v>80.8</v>
      </c>
      <c r="H98" s="4">
        <v>3.5999999999999997E-2</v>
      </c>
      <c r="I98" s="4">
        <v>1.01</v>
      </c>
      <c r="J98" s="4">
        <v>1.01</v>
      </c>
      <c r="K98" s="4">
        <v>78.8</v>
      </c>
      <c r="L98" s="4">
        <v>51.3</v>
      </c>
      <c r="M98" s="4">
        <v>9.4499999999999993</v>
      </c>
      <c r="N98" s="4">
        <v>49.9</v>
      </c>
      <c r="O98" s="4">
        <v>23.4</v>
      </c>
      <c r="P98" s="4">
        <v>10.4</v>
      </c>
      <c r="Q98" s="4">
        <v>31.9</v>
      </c>
      <c r="R98" s="4">
        <v>62</v>
      </c>
      <c r="S98" s="4">
        <v>5.34</v>
      </c>
      <c r="T98" s="4">
        <v>16.2</v>
      </c>
      <c r="U98" s="4">
        <v>16.5</v>
      </c>
      <c r="V98" s="4">
        <v>54.1</v>
      </c>
      <c r="W98" s="4">
        <v>7.22</v>
      </c>
      <c r="X98" s="4">
        <v>33.9</v>
      </c>
      <c r="Y98" s="4">
        <v>10.1</v>
      </c>
      <c r="Z98" s="4">
        <v>35.4</v>
      </c>
      <c r="AA98" s="4">
        <v>20.7</v>
      </c>
      <c r="AB98" s="4">
        <v>25.5</v>
      </c>
      <c r="AC98" s="4">
        <v>2.96</v>
      </c>
      <c r="AD98" s="4">
        <v>18.5</v>
      </c>
      <c r="AE98" s="4">
        <v>49.7</v>
      </c>
      <c r="AF98" s="4">
        <v>27.5</v>
      </c>
      <c r="AG98" s="4">
        <v>8.36</v>
      </c>
      <c r="AH98" s="4">
        <v>10.5</v>
      </c>
      <c r="AI98" s="4">
        <v>13.6</v>
      </c>
      <c r="AJ98" s="4">
        <v>54.5</v>
      </c>
      <c r="AK98" s="4">
        <v>11.9</v>
      </c>
      <c r="AL98" s="4">
        <v>30.6</v>
      </c>
      <c r="AM98" s="4">
        <v>23.2</v>
      </c>
      <c r="AN98" s="4">
        <v>1.02</v>
      </c>
      <c r="AO98" s="4">
        <v>1.54</v>
      </c>
      <c r="AP98" s="4">
        <v>1.79</v>
      </c>
      <c r="AQ98" s="4">
        <v>10.9</v>
      </c>
      <c r="AR98" s="4">
        <v>41.3</v>
      </c>
      <c r="AS98" s="4">
        <v>55.8</v>
      </c>
      <c r="AT98" s="4">
        <v>2.85</v>
      </c>
      <c r="AU98" s="4">
        <v>59</v>
      </c>
      <c r="AV98" s="4">
        <v>29.2</v>
      </c>
      <c r="AW98" s="4">
        <v>21.4</v>
      </c>
      <c r="AX98" s="4">
        <v>8.25</v>
      </c>
      <c r="AY98" s="4">
        <v>64.5</v>
      </c>
      <c r="AZ98" s="4">
        <v>0.4</v>
      </c>
      <c r="BA98" s="4">
        <v>7.93</v>
      </c>
      <c r="BB98" s="4">
        <v>60.3</v>
      </c>
      <c r="BC98" s="4">
        <v>80.099999999999994</v>
      </c>
      <c r="BD98" s="4">
        <v>0.32</v>
      </c>
      <c r="BE98" s="4">
        <v>1.58</v>
      </c>
      <c r="BF98" s="4">
        <v>3.88</v>
      </c>
      <c r="BG98" s="4">
        <v>-14.7</v>
      </c>
      <c r="BH98" s="4">
        <v>354</v>
      </c>
      <c r="BI98" s="4">
        <v>333</v>
      </c>
      <c r="BJ98" s="4">
        <v>380</v>
      </c>
      <c r="BK98" s="4">
        <v>1185</v>
      </c>
      <c r="BL98" s="4">
        <v>175</v>
      </c>
      <c r="BM98" s="4">
        <v>-12.7</v>
      </c>
    </row>
    <row r="99" spans="1:65" x14ac:dyDescent="0.2">
      <c r="A99" s="4" t="s">
        <v>450</v>
      </c>
      <c r="B99" s="4">
        <v>25.8</v>
      </c>
      <c r="C99" s="4">
        <v>5.21</v>
      </c>
      <c r="D99" s="4">
        <v>1.21</v>
      </c>
      <c r="E99" s="4">
        <v>38.6</v>
      </c>
      <c r="F99" s="4">
        <v>50</v>
      </c>
      <c r="G99" s="4">
        <v>38.200000000000003</v>
      </c>
      <c r="H99" s="4">
        <v>0.14000000000000001</v>
      </c>
      <c r="I99" s="4">
        <v>51.2</v>
      </c>
      <c r="J99" s="4">
        <v>5.73</v>
      </c>
      <c r="K99" s="4">
        <v>12.2</v>
      </c>
      <c r="L99" s="4">
        <v>3.26</v>
      </c>
      <c r="M99" s="4">
        <v>14.4</v>
      </c>
      <c r="N99" s="4">
        <v>12.5</v>
      </c>
      <c r="O99" s="4">
        <v>20.5</v>
      </c>
      <c r="P99" s="4">
        <v>44.2</v>
      </c>
      <c r="Q99" s="4">
        <v>65.599999999999994</v>
      </c>
      <c r="R99" s="4">
        <v>46.8</v>
      </c>
      <c r="S99" s="4">
        <v>10.5</v>
      </c>
      <c r="T99" s="4">
        <v>24.6</v>
      </c>
      <c r="U99" s="4">
        <v>18.100000000000001</v>
      </c>
      <c r="V99" s="4">
        <v>1.96</v>
      </c>
      <c r="W99" s="4">
        <v>5.72</v>
      </c>
      <c r="X99" s="4">
        <v>14.1</v>
      </c>
      <c r="Y99" s="4">
        <v>19</v>
      </c>
      <c r="Z99" s="4">
        <v>48.9</v>
      </c>
      <c r="AA99" s="4">
        <v>17.899999999999999</v>
      </c>
      <c r="AB99" s="4">
        <v>7.66</v>
      </c>
      <c r="AC99" s="4">
        <v>3.75</v>
      </c>
      <c r="AD99" s="4">
        <v>26.1</v>
      </c>
      <c r="AE99" s="4">
        <v>61.3</v>
      </c>
      <c r="AF99" s="4">
        <v>2.2999999999999998</v>
      </c>
      <c r="AG99" s="4">
        <v>23.4</v>
      </c>
      <c r="AH99" s="4">
        <v>3.57</v>
      </c>
      <c r="AI99" s="4">
        <v>7.43</v>
      </c>
      <c r="AJ99" s="4">
        <v>74.599999999999994</v>
      </c>
      <c r="AK99" s="4">
        <v>7.86</v>
      </c>
      <c r="AL99" s="4">
        <v>20.399999999999999</v>
      </c>
      <c r="AM99" s="4">
        <v>24</v>
      </c>
      <c r="AN99" s="4">
        <v>1.66</v>
      </c>
      <c r="AO99" s="4">
        <v>0.84</v>
      </c>
      <c r="AP99" s="4">
        <v>5.67</v>
      </c>
      <c r="AQ99" s="4">
        <v>9.1300000000000008</v>
      </c>
      <c r="AR99" s="4">
        <v>75.2</v>
      </c>
      <c r="AS99" s="4">
        <v>22.4</v>
      </c>
      <c r="AT99" s="4">
        <v>2.31</v>
      </c>
      <c r="AU99" s="4">
        <v>66.7</v>
      </c>
      <c r="AV99" s="4">
        <v>18.899999999999999</v>
      </c>
      <c r="AW99" s="4">
        <v>36.4</v>
      </c>
      <c r="AX99" s="4">
        <v>8.61</v>
      </c>
      <c r="AY99" s="4">
        <v>50.7</v>
      </c>
      <c r="AZ99" s="4">
        <v>5.75</v>
      </c>
      <c r="BA99" s="4">
        <v>18.3</v>
      </c>
      <c r="BB99" s="4">
        <v>57.1</v>
      </c>
      <c r="BC99" s="4">
        <v>51.6</v>
      </c>
      <c r="BD99" s="4">
        <v>1.59</v>
      </c>
      <c r="BE99" s="4">
        <v>26.4</v>
      </c>
      <c r="BF99" s="4">
        <v>22.4</v>
      </c>
      <c r="BG99" s="4">
        <v>728</v>
      </c>
      <c r="BH99" s="4">
        <v>1804</v>
      </c>
      <c r="BI99" s="4">
        <v>3802</v>
      </c>
      <c r="BJ99" s="4">
        <v>644</v>
      </c>
      <c r="BK99" s="4">
        <v>926</v>
      </c>
      <c r="BL99" s="4">
        <v>463</v>
      </c>
      <c r="BM99" s="4">
        <v>238</v>
      </c>
    </row>
    <row r="100" spans="1:65" x14ac:dyDescent="0.2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</row>
    <row r="101" spans="1:65" x14ac:dyDescent="0.2">
      <c r="A101" t="s">
        <v>376</v>
      </c>
      <c r="B101">
        <v>15</v>
      </c>
      <c r="C101">
        <v>2.36</v>
      </c>
      <c r="D101">
        <v>2.5999999999999999E-2</v>
      </c>
      <c r="E101">
        <v>50.1</v>
      </c>
      <c r="F101">
        <v>47.6</v>
      </c>
      <c r="G101">
        <v>67.400000000000006</v>
      </c>
      <c r="H101">
        <v>1.6E-2</v>
      </c>
      <c r="I101">
        <v>5.34</v>
      </c>
      <c r="J101">
        <v>2.0499999999999998</v>
      </c>
      <c r="K101">
        <v>61.7</v>
      </c>
      <c r="L101">
        <v>43.7</v>
      </c>
      <c r="M101">
        <v>8.48</v>
      </c>
      <c r="N101">
        <v>59.8</v>
      </c>
      <c r="O101">
        <v>6.48</v>
      </c>
      <c r="P101">
        <v>3.93</v>
      </c>
      <c r="Q101">
        <v>7.37</v>
      </c>
      <c r="R101">
        <v>34.299999999999997</v>
      </c>
      <c r="S101">
        <v>21.5</v>
      </c>
      <c r="T101">
        <v>26.9</v>
      </c>
      <c r="U101">
        <v>17.399999999999999</v>
      </c>
      <c r="V101">
        <v>74.900000000000006</v>
      </c>
      <c r="W101">
        <v>1.67</v>
      </c>
      <c r="X101">
        <v>17.899999999999999</v>
      </c>
      <c r="Y101">
        <v>15.8</v>
      </c>
      <c r="Z101">
        <v>46.2</v>
      </c>
      <c r="AA101">
        <v>20.2</v>
      </c>
      <c r="AB101">
        <v>16.600000000000001</v>
      </c>
      <c r="AC101">
        <v>1.78</v>
      </c>
      <c r="AD101">
        <v>4.16</v>
      </c>
      <c r="AE101">
        <v>29.7</v>
      </c>
      <c r="AF101">
        <v>64.3</v>
      </c>
      <c r="AG101">
        <v>14.5</v>
      </c>
      <c r="AH101">
        <v>3.43</v>
      </c>
      <c r="AI101">
        <v>16.8</v>
      </c>
      <c r="AJ101">
        <v>68.5</v>
      </c>
      <c r="AK101">
        <v>8.11</v>
      </c>
      <c r="AL101">
        <v>10.9</v>
      </c>
      <c r="AM101">
        <v>12.6</v>
      </c>
      <c r="AN101">
        <v>0.52</v>
      </c>
      <c r="AO101">
        <v>0.57999999999999996</v>
      </c>
      <c r="AP101">
        <v>2.4500000000000002</v>
      </c>
      <c r="AQ101">
        <v>0.35</v>
      </c>
      <c r="AR101">
        <v>79</v>
      </c>
      <c r="AS101">
        <v>20.100000000000001</v>
      </c>
      <c r="AT101">
        <v>0.84</v>
      </c>
      <c r="AU101">
        <v>90.5</v>
      </c>
      <c r="AV101">
        <v>7.68</v>
      </c>
      <c r="AW101">
        <v>64.900000000000006</v>
      </c>
      <c r="AX101">
        <v>4.9800000000000004</v>
      </c>
      <c r="AY101">
        <v>23.9</v>
      </c>
      <c r="AZ101">
        <v>0.6</v>
      </c>
      <c r="BA101">
        <v>6.43</v>
      </c>
      <c r="BB101">
        <v>26.4</v>
      </c>
      <c r="BC101">
        <v>23.2</v>
      </c>
      <c r="BD101">
        <v>2.11</v>
      </c>
      <c r="BE101">
        <v>3.27</v>
      </c>
      <c r="BF101">
        <v>5.12</v>
      </c>
      <c r="BG101">
        <v>97.8</v>
      </c>
      <c r="BH101">
        <v>748</v>
      </c>
      <c r="BI101">
        <v>1094</v>
      </c>
      <c r="BJ101">
        <v>755</v>
      </c>
      <c r="BK101">
        <v>1103</v>
      </c>
      <c r="BL101">
        <v>438</v>
      </c>
      <c r="BM101">
        <v>9.82</v>
      </c>
    </row>
    <row r="102" spans="1:65" x14ac:dyDescent="0.2">
      <c r="A102" t="s">
        <v>366</v>
      </c>
      <c r="B102">
        <v>9.07</v>
      </c>
      <c r="C102">
        <v>3.6</v>
      </c>
      <c r="D102">
        <v>0.28000000000000003</v>
      </c>
      <c r="E102">
        <v>36.6</v>
      </c>
      <c r="F102">
        <v>59.5</v>
      </c>
      <c r="G102">
        <v>72.900000000000006</v>
      </c>
      <c r="H102">
        <v>1.9E-2</v>
      </c>
      <c r="I102">
        <v>1.1299999999999999</v>
      </c>
      <c r="J102">
        <v>2.58</v>
      </c>
      <c r="K102">
        <v>69.5</v>
      </c>
      <c r="L102">
        <v>48.8</v>
      </c>
      <c r="M102">
        <v>4.8600000000000003</v>
      </c>
      <c r="N102">
        <v>62.4</v>
      </c>
      <c r="O102">
        <v>23.7</v>
      </c>
      <c r="P102">
        <v>8.3800000000000008</v>
      </c>
      <c r="Q102">
        <v>27.3</v>
      </c>
      <c r="R102">
        <v>41.9</v>
      </c>
      <c r="S102">
        <v>12.8</v>
      </c>
      <c r="T102">
        <v>37.9</v>
      </c>
      <c r="U102">
        <v>7.32</v>
      </c>
      <c r="V102">
        <v>60.1</v>
      </c>
      <c r="W102">
        <v>4.08</v>
      </c>
      <c r="X102">
        <v>57.5</v>
      </c>
      <c r="Y102">
        <v>2.54</v>
      </c>
      <c r="Z102">
        <v>28.4</v>
      </c>
      <c r="AA102">
        <v>11.6</v>
      </c>
      <c r="AB102">
        <v>17.7</v>
      </c>
      <c r="AC102">
        <v>10.1</v>
      </c>
      <c r="AD102">
        <v>19.3</v>
      </c>
      <c r="AE102">
        <v>16.399999999999999</v>
      </c>
      <c r="AF102">
        <v>54.2</v>
      </c>
      <c r="AG102">
        <v>13.6</v>
      </c>
      <c r="AH102">
        <v>4.0999999999999996</v>
      </c>
      <c r="AI102">
        <v>24.6</v>
      </c>
      <c r="AJ102">
        <v>42.5</v>
      </c>
      <c r="AK102">
        <v>14.1</v>
      </c>
      <c r="AL102">
        <v>10.4</v>
      </c>
      <c r="AM102">
        <v>10.5</v>
      </c>
      <c r="AN102">
        <v>0.88</v>
      </c>
      <c r="AO102">
        <v>0.52</v>
      </c>
      <c r="AP102">
        <v>7.86</v>
      </c>
      <c r="AQ102">
        <v>1.91</v>
      </c>
      <c r="AR102">
        <v>92.5</v>
      </c>
      <c r="AS102">
        <v>6.17</v>
      </c>
      <c r="AT102">
        <v>1.25</v>
      </c>
      <c r="AU102">
        <v>81.7</v>
      </c>
      <c r="AV102">
        <v>8.9</v>
      </c>
      <c r="AW102">
        <v>65.599999999999994</v>
      </c>
      <c r="AX102">
        <v>8.31</v>
      </c>
      <c r="AY102">
        <v>21.8</v>
      </c>
      <c r="AZ102">
        <v>1.35</v>
      </c>
      <c r="BA102">
        <v>17.600000000000001</v>
      </c>
      <c r="BB102">
        <v>68.8</v>
      </c>
      <c r="BC102">
        <v>77.900000000000006</v>
      </c>
      <c r="BD102">
        <v>0.43</v>
      </c>
      <c r="BE102">
        <v>3.77</v>
      </c>
      <c r="BF102">
        <v>36.9</v>
      </c>
      <c r="BG102">
        <v>53.3</v>
      </c>
      <c r="BH102">
        <v>384</v>
      </c>
      <c r="BI102">
        <v>367</v>
      </c>
      <c r="BJ102">
        <v>670</v>
      </c>
      <c r="BK102">
        <v>947</v>
      </c>
      <c r="BL102">
        <v>340</v>
      </c>
      <c r="BM102">
        <v>23.3</v>
      </c>
    </row>
    <row r="103" spans="1:65" x14ac:dyDescent="0.2">
      <c r="A103" t="s">
        <v>382</v>
      </c>
      <c r="B103">
        <v>12.6</v>
      </c>
      <c r="C103">
        <v>4.76</v>
      </c>
      <c r="D103">
        <v>0.21</v>
      </c>
      <c r="E103">
        <v>40.6</v>
      </c>
      <c r="F103">
        <v>54.5</v>
      </c>
      <c r="G103">
        <v>71.900000000000006</v>
      </c>
      <c r="H103">
        <v>0.12</v>
      </c>
      <c r="I103">
        <v>4.2</v>
      </c>
      <c r="J103">
        <v>2.08</v>
      </c>
      <c r="K103">
        <v>66.599999999999994</v>
      </c>
      <c r="L103">
        <v>55.4</v>
      </c>
      <c r="M103">
        <v>5.68</v>
      </c>
      <c r="N103">
        <v>45.9</v>
      </c>
      <c r="O103">
        <v>33.700000000000003</v>
      </c>
      <c r="P103">
        <v>13</v>
      </c>
      <c r="Q103">
        <v>38.1</v>
      </c>
      <c r="R103">
        <v>24.5</v>
      </c>
      <c r="S103">
        <v>24.6</v>
      </c>
      <c r="T103">
        <v>38.6</v>
      </c>
      <c r="U103">
        <v>12.2</v>
      </c>
      <c r="V103">
        <v>47</v>
      </c>
      <c r="W103">
        <v>9.09</v>
      </c>
      <c r="X103">
        <v>31.7</v>
      </c>
      <c r="Y103">
        <v>13</v>
      </c>
      <c r="Z103">
        <v>34.5</v>
      </c>
      <c r="AA103">
        <v>20.8</v>
      </c>
      <c r="AB103">
        <v>10.199999999999999</v>
      </c>
      <c r="AC103">
        <v>8.5500000000000007</v>
      </c>
      <c r="AD103">
        <v>12.8</v>
      </c>
      <c r="AE103">
        <v>9.81</v>
      </c>
      <c r="AF103">
        <v>68.8</v>
      </c>
      <c r="AG103">
        <v>14.7</v>
      </c>
      <c r="AH103">
        <v>3.1</v>
      </c>
      <c r="AI103">
        <v>33.9</v>
      </c>
      <c r="AJ103">
        <v>49.6</v>
      </c>
      <c r="AK103">
        <v>4.9000000000000004</v>
      </c>
      <c r="AL103">
        <v>25.8</v>
      </c>
      <c r="AM103">
        <v>15.4</v>
      </c>
      <c r="AN103">
        <v>1</v>
      </c>
      <c r="AO103">
        <v>1.65</v>
      </c>
      <c r="AP103">
        <v>3.14</v>
      </c>
      <c r="AQ103">
        <v>16.399999999999999</v>
      </c>
      <c r="AR103">
        <v>91.3</v>
      </c>
      <c r="AS103">
        <v>6.45</v>
      </c>
      <c r="AT103">
        <v>1.91</v>
      </c>
      <c r="AU103">
        <v>79.099999999999994</v>
      </c>
      <c r="AV103">
        <v>2.81</v>
      </c>
      <c r="AW103">
        <v>51.2</v>
      </c>
      <c r="AX103">
        <v>4.92</v>
      </c>
      <c r="AY103">
        <v>41.1</v>
      </c>
      <c r="AZ103">
        <v>0.38</v>
      </c>
      <c r="BA103">
        <v>11.8</v>
      </c>
      <c r="BB103">
        <v>44.6</v>
      </c>
      <c r="BC103">
        <v>69</v>
      </c>
      <c r="BD103">
        <v>0.44</v>
      </c>
      <c r="BE103">
        <v>2.29</v>
      </c>
      <c r="BF103">
        <v>3.92</v>
      </c>
      <c r="BG103">
        <v>17.600000000000001</v>
      </c>
      <c r="BH103">
        <v>364</v>
      </c>
      <c r="BI103">
        <v>357</v>
      </c>
      <c r="BJ103">
        <v>448</v>
      </c>
      <c r="BK103">
        <v>1066</v>
      </c>
      <c r="BL103">
        <v>514</v>
      </c>
      <c r="BM103">
        <v>-23.2</v>
      </c>
    </row>
    <row r="104" spans="1:65" x14ac:dyDescent="0.2">
      <c r="A104" t="s">
        <v>381</v>
      </c>
      <c r="B104">
        <v>25.4</v>
      </c>
      <c r="C104">
        <v>5.48</v>
      </c>
      <c r="D104">
        <v>0.67</v>
      </c>
      <c r="E104">
        <v>50.5</v>
      </c>
      <c r="F104">
        <v>43.4</v>
      </c>
      <c r="G104">
        <v>63.9</v>
      </c>
      <c r="H104">
        <v>0.25</v>
      </c>
      <c r="I104">
        <v>4.25</v>
      </c>
      <c r="J104">
        <v>8.58</v>
      </c>
      <c r="K104">
        <v>52.2</v>
      </c>
      <c r="L104">
        <v>39.5</v>
      </c>
      <c r="M104">
        <v>6.81</v>
      </c>
      <c r="N104">
        <v>19.8</v>
      </c>
      <c r="O104">
        <v>44.2</v>
      </c>
      <c r="P104">
        <v>28.2</v>
      </c>
      <c r="Q104">
        <v>58.7</v>
      </c>
      <c r="R104">
        <v>38.299999999999997</v>
      </c>
      <c r="S104">
        <v>19.7</v>
      </c>
      <c r="T104">
        <v>29.4</v>
      </c>
      <c r="U104">
        <v>12.6</v>
      </c>
      <c r="V104">
        <v>20.100000000000001</v>
      </c>
      <c r="W104">
        <v>14</v>
      </c>
      <c r="X104">
        <v>36</v>
      </c>
      <c r="Y104">
        <v>6.2</v>
      </c>
      <c r="Z104">
        <v>45.3</v>
      </c>
      <c r="AA104">
        <v>12.6</v>
      </c>
      <c r="AB104">
        <v>11.9</v>
      </c>
      <c r="AC104">
        <v>19</v>
      </c>
      <c r="AD104">
        <v>22</v>
      </c>
      <c r="AE104">
        <v>34.5</v>
      </c>
      <c r="AF104">
        <v>24.4</v>
      </c>
      <c r="AG104">
        <v>12.9</v>
      </c>
      <c r="AH104">
        <v>5.5</v>
      </c>
      <c r="AI104">
        <v>49.3</v>
      </c>
      <c r="AJ104">
        <v>37.299999999999997</v>
      </c>
      <c r="AK104">
        <v>3.2</v>
      </c>
      <c r="AL104">
        <v>14</v>
      </c>
      <c r="AM104">
        <v>15.5</v>
      </c>
      <c r="AN104">
        <v>0.94</v>
      </c>
      <c r="AO104">
        <v>2.11</v>
      </c>
      <c r="AP104">
        <v>2.4700000000000002</v>
      </c>
      <c r="AQ104">
        <v>10.7</v>
      </c>
      <c r="AR104">
        <v>88.7</v>
      </c>
      <c r="AS104">
        <v>8.42</v>
      </c>
      <c r="AT104">
        <v>2.4700000000000002</v>
      </c>
      <c r="AU104">
        <v>83.7</v>
      </c>
      <c r="AV104">
        <v>4.1900000000000004</v>
      </c>
      <c r="AW104">
        <v>60.8</v>
      </c>
      <c r="AX104">
        <v>6.37</v>
      </c>
      <c r="AY104">
        <v>30.1</v>
      </c>
      <c r="AZ104">
        <v>2.2599999999999998</v>
      </c>
      <c r="BA104">
        <v>8.83</v>
      </c>
      <c r="BB104">
        <v>27.2</v>
      </c>
      <c r="BC104">
        <v>58.6</v>
      </c>
      <c r="BD104">
        <v>0.49</v>
      </c>
      <c r="BE104">
        <v>1.21</v>
      </c>
      <c r="BF104">
        <v>3.1</v>
      </c>
      <c r="BG104">
        <v>61.6</v>
      </c>
      <c r="BH104">
        <v>581</v>
      </c>
      <c r="BI104">
        <v>624</v>
      </c>
      <c r="BJ104">
        <v>689</v>
      </c>
      <c r="BK104">
        <v>872</v>
      </c>
      <c r="BL104">
        <v>555</v>
      </c>
      <c r="BM104">
        <v>220</v>
      </c>
    </row>
    <row r="105" spans="1:65" x14ac:dyDescent="0.2">
      <c r="A105" t="s">
        <v>380</v>
      </c>
      <c r="B105">
        <v>9.6300000000000008</v>
      </c>
      <c r="C105">
        <v>6.33</v>
      </c>
      <c r="D105">
        <v>0.6</v>
      </c>
      <c r="E105">
        <v>48.6</v>
      </c>
      <c r="F105">
        <v>44.5</v>
      </c>
      <c r="G105">
        <v>81.599999999999994</v>
      </c>
      <c r="H105">
        <v>1.6E-2</v>
      </c>
      <c r="I105">
        <v>1.65</v>
      </c>
      <c r="J105">
        <v>2.02</v>
      </c>
      <c r="K105">
        <v>78.2</v>
      </c>
      <c r="L105">
        <v>43.4</v>
      </c>
      <c r="M105">
        <v>7.5</v>
      </c>
      <c r="N105">
        <v>46.2</v>
      </c>
      <c r="O105">
        <v>32.799999999999997</v>
      </c>
      <c r="P105">
        <v>10.9</v>
      </c>
      <c r="Q105">
        <v>30.5</v>
      </c>
      <c r="R105">
        <v>18.7</v>
      </c>
      <c r="S105">
        <v>28.8</v>
      </c>
      <c r="T105">
        <v>41.7</v>
      </c>
      <c r="U105">
        <v>10.8</v>
      </c>
      <c r="V105">
        <v>48</v>
      </c>
      <c r="W105">
        <v>13.6</v>
      </c>
      <c r="X105">
        <v>22.8</v>
      </c>
      <c r="Y105">
        <v>13.6</v>
      </c>
      <c r="Z105">
        <v>48.2</v>
      </c>
      <c r="AA105">
        <v>15.5</v>
      </c>
      <c r="AB105">
        <v>31.3</v>
      </c>
      <c r="AC105">
        <v>1.61</v>
      </c>
      <c r="AD105">
        <v>1.74</v>
      </c>
      <c r="AE105">
        <v>35.1</v>
      </c>
      <c r="AF105">
        <v>61.5</v>
      </c>
      <c r="AG105">
        <v>7.98</v>
      </c>
      <c r="AH105">
        <v>7.59</v>
      </c>
      <c r="AI105">
        <v>37.200000000000003</v>
      </c>
      <c r="AJ105">
        <v>44.7</v>
      </c>
      <c r="AK105">
        <v>4.38</v>
      </c>
      <c r="AL105">
        <v>10.7</v>
      </c>
      <c r="AM105">
        <v>12.2</v>
      </c>
      <c r="AN105">
        <v>0.5</v>
      </c>
      <c r="AO105">
        <v>0.75</v>
      </c>
      <c r="AP105">
        <v>2.21</v>
      </c>
      <c r="AQ105">
        <v>5.26</v>
      </c>
      <c r="AR105">
        <v>90.1</v>
      </c>
      <c r="AS105">
        <v>8.99</v>
      </c>
      <c r="AT105">
        <v>0.75</v>
      </c>
      <c r="AU105">
        <v>81.8</v>
      </c>
      <c r="AV105">
        <v>11.4</v>
      </c>
      <c r="AW105">
        <v>53.6</v>
      </c>
      <c r="AX105">
        <v>13.6</v>
      </c>
      <c r="AY105">
        <v>25.3</v>
      </c>
      <c r="AZ105">
        <v>0.64</v>
      </c>
      <c r="BA105">
        <v>7.11</v>
      </c>
      <c r="BB105">
        <v>29.5</v>
      </c>
      <c r="BC105">
        <v>68</v>
      </c>
      <c r="BD105">
        <v>0.5</v>
      </c>
      <c r="BE105">
        <v>2.04</v>
      </c>
      <c r="BF105">
        <v>2.34</v>
      </c>
      <c r="BG105">
        <v>33.200000000000003</v>
      </c>
      <c r="BH105">
        <v>381</v>
      </c>
      <c r="BI105">
        <v>410</v>
      </c>
      <c r="BJ105">
        <v>509</v>
      </c>
      <c r="BK105">
        <v>993</v>
      </c>
      <c r="BL105">
        <v>146</v>
      </c>
      <c r="BM105">
        <v>4.7300000000000004</v>
      </c>
    </row>
    <row r="106" spans="1:65" x14ac:dyDescent="0.2">
      <c r="A106" t="s">
        <v>365</v>
      </c>
      <c r="B106">
        <v>19.7</v>
      </c>
      <c r="C106">
        <v>2.5299999999999998</v>
      </c>
      <c r="D106">
        <v>5.8999999999999997E-2</v>
      </c>
      <c r="E106">
        <v>24.5</v>
      </c>
      <c r="F106">
        <v>72.900000000000006</v>
      </c>
      <c r="G106">
        <v>64.5</v>
      </c>
      <c r="H106" s="6">
        <v>9.4900000000000002E-3</v>
      </c>
      <c r="I106">
        <v>9.9600000000000009</v>
      </c>
      <c r="J106">
        <v>3.95</v>
      </c>
      <c r="K106">
        <v>54.1</v>
      </c>
      <c r="L106">
        <v>28.9</v>
      </c>
      <c r="M106">
        <v>7.33</v>
      </c>
      <c r="N106">
        <v>55.5</v>
      </c>
      <c r="O106">
        <v>22.8</v>
      </c>
      <c r="P106">
        <v>13.6</v>
      </c>
      <c r="Q106">
        <v>29.7</v>
      </c>
      <c r="R106">
        <v>63.7</v>
      </c>
      <c r="S106">
        <v>3.85</v>
      </c>
      <c r="T106">
        <v>25.9</v>
      </c>
      <c r="U106">
        <v>6.57</v>
      </c>
      <c r="V106">
        <v>54.5</v>
      </c>
      <c r="W106">
        <v>6.25</v>
      </c>
      <c r="X106">
        <v>73</v>
      </c>
      <c r="Y106">
        <v>0.65</v>
      </c>
      <c r="Z106">
        <v>21.5</v>
      </c>
      <c r="AA106">
        <v>4.8899999999999997</v>
      </c>
      <c r="AB106">
        <v>24.4</v>
      </c>
      <c r="AC106">
        <v>2.2000000000000002</v>
      </c>
      <c r="AD106">
        <v>5.9</v>
      </c>
      <c r="AE106">
        <v>12.6</v>
      </c>
      <c r="AF106">
        <v>79.3</v>
      </c>
      <c r="AG106">
        <v>12.4</v>
      </c>
      <c r="AH106">
        <v>2.75</v>
      </c>
      <c r="AI106">
        <v>41</v>
      </c>
      <c r="AJ106">
        <v>35.299999999999997</v>
      </c>
      <c r="AK106">
        <v>4.24</v>
      </c>
      <c r="AL106">
        <v>14.9</v>
      </c>
      <c r="AM106">
        <v>22.8</v>
      </c>
      <c r="AN106">
        <v>2.31</v>
      </c>
      <c r="AO106">
        <v>1.37</v>
      </c>
      <c r="AP106">
        <v>29.8</v>
      </c>
      <c r="AQ106">
        <v>5.57</v>
      </c>
      <c r="AR106">
        <v>85.7</v>
      </c>
      <c r="AS106">
        <v>10.6</v>
      </c>
      <c r="AT106">
        <v>3.63</v>
      </c>
      <c r="AU106">
        <v>49.8</v>
      </c>
      <c r="AV106">
        <v>14.6</v>
      </c>
      <c r="AW106">
        <v>48.5</v>
      </c>
      <c r="AX106">
        <v>3.87</v>
      </c>
      <c r="AY106">
        <v>39.700000000000003</v>
      </c>
      <c r="AZ106">
        <v>0.32</v>
      </c>
      <c r="BA106">
        <v>6.51</v>
      </c>
      <c r="BB106">
        <v>51.2</v>
      </c>
      <c r="BC106">
        <v>82.7</v>
      </c>
      <c r="BD106">
        <v>0.28000000000000003</v>
      </c>
      <c r="BE106">
        <v>2.15</v>
      </c>
      <c r="BF106">
        <v>16.7</v>
      </c>
      <c r="BG106">
        <v>28.8</v>
      </c>
      <c r="BH106">
        <v>369</v>
      </c>
      <c r="BI106">
        <v>387</v>
      </c>
      <c r="BJ106">
        <v>187</v>
      </c>
      <c r="BK106">
        <v>425</v>
      </c>
      <c r="BL106">
        <v>171</v>
      </c>
      <c r="BM106">
        <v>-11.4</v>
      </c>
    </row>
    <row r="107" spans="1:65" x14ac:dyDescent="0.2">
      <c r="A107" t="s">
        <v>357</v>
      </c>
      <c r="B107">
        <v>15.4</v>
      </c>
      <c r="C107">
        <v>1.26</v>
      </c>
      <c r="D107">
        <v>8.8999999999999996E-2</v>
      </c>
      <c r="E107">
        <v>55.2</v>
      </c>
      <c r="F107">
        <v>43.4</v>
      </c>
      <c r="G107">
        <v>60.6</v>
      </c>
      <c r="H107">
        <v>2.3E-2</v>
      </c>
      <c r="I107">
        <v>1.44</v>
      </c>
      <c r="J107">
        <v>1.4</v>
      </c>
      <c r="K107">
        <v>58.3</v>
      </c>
      <c r="L107">
        <v>28.6</v>
      </c>
      <c r="M107">
        <v>5.67</v>
      </c>
      <c r="N107">
        <v>51.4</v>
      </c>
      <c r="O107">
        <v>37.799999999999997</v>
      </c>
      <c r="P107">
        <v>2.99</v>
      </c>
      <c r="Q107">
        <v>27.3</v>
      </c>
      <c r="R107">
        <v>55.5</v>
      </c>
      <c r="S107">
        <v>6.12</v>
      </c>
      <c r="T107">
        <v>30</v>
      </c>
      <c r="U107">
        <v>8.3000000000000007</v>
      </c>
      <c r="V107">
        <v>52.9</v>
      </c>
      <c r="W107">
        <v>13.2</v>
      </c>
      <c r="X107">
        <v>43.8</v>
      </c>
      <c r="Y107">
        <v>4.54</v>
      </c>
      <c r="Z107">
        <v>39.299999999999997</v>
      </c>
      <c r="AA107">
        <v>12.3</v>
      </c>
      <c r="AB107">
        <v>28.6</v>
      </c>
      <c r="AC107">
        <v>3.34</v>
      </c>
      <c r="AD107">
        <v>4.66</v>
      </c>
      <c r="AE107">
        <v>6.41</v>
      </c>
      <c r="AF107">
        <v>85.6</v>
      </c>
      <c r="AG107">
        <v>21.5</v>
      </c>
      <c r="AH107">
        <v>1.88</v>
      </c>
      <c r="AI107">
        <v>47.6</v>
      </c>
      <c r="AJ107">
        <v>48.4</v>
      </c>
      <c r="AK107">
        <v>1.05</v>
      </c>
      <c r="AL107">
        <v>20.3</v>
      </c>
      <c r="AM107">
        <v>22.7</v>
      </c>
      <c r="AN107">
        <v>3.99</v>
      </c>
      <c r="AO107">
        <v>6</v>
      </c>
      <c r="AP107">
        <v>8.74</v>
      </c>
      <c r="AQ107">
        <v>8.74</v>
      </c>
      <c r="AR107">
        <v>79.8</v>
      </c>
      <c r="AS107">
        <v>1.02</v>
      </c>
      <c r="AT107">
        <v>9.3000000000000007</v>
      </c>
      <c r="AU107">
        <v>70</v>
      </c>
      <c r="AV107">
        <v>12.8</v>
      </c>
      <c r="AW107">
        <v>37</v>
      </c>
      <c r="AX107">
        <v>3.61</v>
      </c>
      <c r="AY107">
        <v>47.3</v>
      </c>
      <c r="AZ107">
        <v>0.17</v>
      </c>
      <c r="BA107">
        <v>4.93</v>
      </c>
      <c r="BB107">
        <v>59.6</v>
      </c>
      <c r="BC107">
        <v>79.8</v>
      </c>
      <c r="BD107">
        <v>0.14000000000000001</v>
      </c>
      <c r="BE107">
        <v>1.36</v>
      </c>
      <c r="BF107">
        <v>4.5599999999999996</v>
      </c>
      <c r="BG107">
        <v>-102</v>
      </c>
      <c r="BH107">
        <v>305</v>
      </c>
      <c r="BI107">
        <v>526</v>
      </c>
      <c r="BJ107">
        <v>533</v>
      </c>
      <c r="BK107">
        <v>763</v>
      </c>
      <c r="BL107">
        <v>110</v>
      </c>
      <c r="BM107">
        <v>48.3</v>
      </c>
    </row>
    <row r="108" spans="1:65" x14ac:dyDescent="0.2">
      <c r="A108" s="4" t="s">
        <v>390</v>
      </c>
      <c r="B108" s="4">
        <v>7.19</v>
      </c>
      <c r="C108" s="4">
        <v>12.2</v>
      </c>
      <c r="D108" s="4">
        <v>0.16</v>
      </c>
      <c r="E108" s="4">
        <v>51.6</v>
      </c>
      <c r="F108" s="4">
        <v>35.9</v>
      </c>
      <c r="G108" s="4">
        <v>67.7</v>
      </c>
      <c r="H108" s="4">
        <v>4.1000000000000002E-2</v>
      </c>
      <c r="I108" s="4">
        <v>11.2</v>
      </c>
      <c r="J108" s="4">
        <v>3.8</v>
      </c>
      <c r="K108" s="4">
        <v>56.2</v>
      </c>
      <c r="L108" s="4">
        <v>35.6</v>
      </c>
      <c r="M108" s="4">
        <v>4.82</v>
      </c>
      <c r="N108" s="4">
        <v>64.7</v>
      </c>
      <c r="O108" s="4">
        <v>14.1</v>
      </c>
      <c r="P108" s="4">
        <v>12.3</v>
      </c>
      <c r="Q108" s="4">
        <v>22.2</v>
      </c>
      <c r="R108" s="4">
        <v>32.200000000000003</v>
      </c>
      <c r="S108" s="4">
        <v>19.899999999999999</v>
      </c>
      <c r="T108" s="4">
        <v>35.1</v>
      </c>
      <c r="U108" s="4">
        <v>12.8</v>
      </c>
      <c r="V108" s="4">
        <v>66.2</v>
      </c>
      <c r="W108" s="4">
        <v>6.43</v>
      </c>
      <c r="X108" s="4">
        <v>33.299999999999997</v>
      </c>
      <c r="Y108" s="4">
        <v>8.18</v>
      </c>
      <c r="Z108" s="4">
        <v>36.6</v>
      </c>
      <c r="AA108" s="4">
        <v>21.8</v>
      </c>
      <c r="AB108" s="4">
        <v>19.600000000000001</v>
      </c>
      <c r="AC108" s="4">
        <v>2.37</v>
      </c>
      <c r="AD108" s="4">
        <v>5.0599999999999996</v>
      </c>
      <c r="AE108" s="4">
        <v>10.3</v>
      </c>
      <c r="AF108" s="4">
        <v>80</v>
      </c>
      <c r="AG108" s="4">
        <v>20.5</v>
      </c>
      <c r="AH108" s="4">
        <v>2.38</v>
      </c>
      <c r="AI108" s="4">
        <v>17.100000000000001</v>
      </c>
      <c r="AJ108" s="4">
        <v>61.7</v>
      </c>
      <c r="AK108" s="4">
        <v>14.8</v>
      </c>
      <c r="AL108" s="4">
        <v>16.7</v>
      </c>
      <c r="AM108" s="4">
        <v>30</v>
      </c>
      <c r="AN108" s="4">
        <v>0.35</v>
      </c>
      <c r="AO108" s="4">
        <v>0.78</v>
      </c>
      <c r="AP108" s="4">
        <v>1.34</v>
      </c>
      <c r="AQ108" s="4">
        <v>1.31</v>
      </c>
      <c r="AR108" s="4">
        <v>70.900000000000006</v>
      </c>
      <c r="AS108" s="4">
        <v>28</v>
      </c>
      <c r="AT108" s="4">
        <v>1.1100000000000001</v>
      </c>
      <c r="AU108" s="4">
        <v>76.400000000000006</v>
      </c>
      <c r="AV108" s="4">
        <v>22.1</v>
      </c>
      <c r="AW108" s="4">
        <v>45.7</v>
      </c>
      <c r="AX108" s="4">
        <v>4.01</v>
      </c>
      <c r="AY108" s="4">
        <v>48.7</v>
      </c>
      <c r="AZ108" s="4">
        <v>0.39</v>
      </c>
      <c r="BA108" s="4">
        <v>7.31</v>
      </c>
      <c r="BB108" s="4">
        <v>36.9</v>
      </c>
      <c r="BC108" s="4">
        <v>44.8</v>
      </c>
      <c r="BD108" s="4">
        <v>1.1599999999999999</v>
      </c>
      <c r="BE108" s="4">
        <v>3.99</v>
      </c>
      <c r="BF108" s="4">
        <v>6.19</v>
      </c>
      <c r="BG108" s="4">
        <v>-88.5</v>
      </c>
      <c r="BH108" s="4">
        <v>139</v>
      </c>
      <c r="BI108" s="4">
        <v>212</v>
      </c>
      <c r="BJ108" s="4">
        <v>261</v>
      </c>
      <c r="BK108" s="4">
        <v>620</v>
      </c>
      <c r="BL108" s="4">
        <v>254</v>
      </c>
      <c r="BM108" s="4">
        <v>-31.6</v>
      </c>
    </row>
    <row r="109" spans="1:65" x14ac:dyDescent="0.2">
      <c r="A109" t="s">
        <v>367</v>
      </c>
      <c r="B109">
        <v>5.63</v>
      </c>
      <c r="C109">
        <v>8.27</v>
      </c>
      <c r="D109">
        <v>9.0999999999999998E-2</v>
      </c>
      <c r="E109">
        <v>66</v>
      </c>
      <c r="F109">
        <v>25.6</v>
      </c>
      <c r="G109">
        <v>78.599999999999994</v>
      </c>
      <c r="H109">
        <v>5.2999999999999999E-2</v>
      </c>
      <c r="I109">
        <v>5.65</v>
      </c>
      <c r="J109">
        <v>2.5299999999999998</v>
      </c>
      <c r="K109">
        <v>71.5</v>
      </c>
      <c r="L109">
        <v>51.2</v>
      </c>
      <c r="M109">
        <v>6.79</v>
      </c>
      <c r="N109">
        <v>51.2</v>
      </c>
      <c r="O109">
        <v>24.3</v>
      </c>
      <c r="P109">
        <v>17.2</v>
      </c>
      <c r="Q109">
        <v>34.4</v>
      </c>
      <c r="R109">
        <v>36.9</v>
      </c>
      <c r="S109">
        <v>10.7</v>
      </c>
      <c r="T109">
        <v>43.3</v>
      </c>
      <c r="U109">
        <v>9.1300000000000008</v>
      </c>
      <c r="V109">
        <v>50.5</v>
      </c>
      <c r="W109">
        <v>6.59</v>
      </c>
      <c r="X109">
        <v>40.299999999999997</v>
      </c>
      <c r="Y109">
        <v>2.0299999999999998</v>
      </c>
      <c r="Z109">
        <v>53.5</v>
      </c>
      <c r="AA109">
        <v>4.2300000000000004</v>
      </c>
      <c r="AB109">
        <v>19.3</v>
      </c>
      <c r="AC109">
        <v>4.84</v>
      </c>
      <c r="AD109">
        <v>25.7</v>
      </c>
      <c r="AE109">
        <v>31.7</v>
      </c>
      <c r="AF109">
        <v>37.700000000000003</v>
      </c>
      <c r="AG109">
        <v>11</v>
      </c>
      <c r="AH109">
        <v>13.6</v>
      </c>
      <c r="AI109">
        <v>15.7</v>
      </c>
      <c r="AJ109">
        <v>57.3</v>
      </c>
      <c r="AK109">
        <v>7.07</v>
      </c>
      <c r="AL109">
        <v>19.8</v>
      </c>
      <c r="AM109">
        <v>15.7</v>
      </c>
      <c r="AN109">
        <v>1.51</v>
      </c>
      <c r="AO109">
        <v>0.69</v>
      </c>
      <c r="AP109">
        <v>22.6</v>
      </c>
      <c r="AQ109">
        <v>2.2400000000000002</v>
      </c>
      <c r="AR109">
        <v>85.3</v>
      </c>
      <c r="AS109">
        <v>12.5</v>
      </c>
      <c r="AT109">
        <v>2.0499999999999998</v>
      </c>
      <c r="AU109">
        <v>65.400000000000006</v>
      </c>
      <c r="AV109">
        <v>10.4</v>
      </c>
      <c r="AW109">
        <v>45.9</v>
      </c>
      <c r="AX109">
        <v>9.43</v>
      </c>
      <c r="AY109">
        <v>38.200000000000003</v>
      </c>
      <c r="AZ109">
        <v>0.82</v>
      </c>
      <c r="BA109">
        <v>7.45</v>
      </c>
      <c r="BB109">
        <v>63.3</v>
      </c>
      <c r="BC109">
        <v>84.1</v>
      </c>
      <c r="BD109">
        <v>0.14000000000000001</v>
      </c>
      <c r="BE109">
        <v>1.71</v>
      </c>
      <c r="BF109">
        <v>3.88</v>
      </c>
      <c r="BG109">
        <v>14.1</v>
      </c>
      <c r="BH109">
        <v>297</v>
      </c>
      <c r="BI109">
        <v>512</v>
      </c>
      <c r="BJ109">
        <v>349</v>
      </c>
      <c r="BK109">
        <v>438</v>
      </c>
      <c r="BL109">
        <v>106</v>
      </c>
      <c r="BM109">
        <v>-12.8</v>
      </c>
    </row>
    <row r="110" spans="1:65" x14ac:dyDescent="0.2">
      <c r="A110" s="4" t="s">
        <v>391</v>
      </c>
      <c r="B110" s="4">
        <v>9.4700000000000006</v>
      </c>
      <c r="C110" s="4">
        <v>7.95</v>
      </c>
      <c r="D110" s="4">
        <v>1.1100000000000001</v>
      </c>
      <c r="E110" s="4">
        <v>33.9</v>
      </c>
      <c r="F110" s="4">
        <v>56.8</v>
      </c>
      <c r="G110" s="4">
        <v>76.599999999999994</v>
      </c>
      <c r="H110" s="4">
        <v>5.3999999999999999E-2</v>
      </c>
      <c r="I110" s="4">
        <v>5.92</v>
      </c>
      <c r="J110" s="4">
        <v>12.4</v>
      </c>
      <c r="K110" s="4">
        <v>59.6</v>
      </c>
      <c r="L110" s="4">
        <v>33.799999999999997</v>
      </c>
      <c r="M110" s="4">
        <v>4.4000000000000004</v>
      </c>
      <c r="N110" s="4">
        <v>41.4</v>
      </c>
      <c r="O110" s="4">
        <v>22.4</v>
      </c>
      <c r="P110" s="4">
        <v>26.4</v>
      </c>
      <c r="Q110" s="4">
        <v>43.4</v>
      </c>
      <c r="R110" s="4">
        <v>19.8</v>
      </c>
      <c r="S110" s="4">
        <v>24.7</v>
      </c>
      <c r="T110" s="4">
        <v>42.5</v>
      </c>
      <c r="U110" s="4">
        <v>12.9</v>
      </c>
      <c r="V110" s="4">
        <v>40.1</v>
      </c>
      <c r="W110" s="4">
        <v>9.26</v>
      </c>
      <c r="X110" s="4">
        <v>27.5</v>
      </c>
      <c r="Y110" s="4">
        <v>10.1</v>
      </c>
      <c r="Z110" s="4">
        <v>37</v>
      </c>
      <c r="AA110" s="4">
        <v>25.5</v>
      </c>
      <c r="AB110" s="4">
        <v>24.4</v>
      </c>
      <c r="AC110" s="4">
        <v>6.92</v>
      </c>
      <c r="AD110" s="4">
        <v>9.9499999999999993</v>
      </c>
      <c r="AE110" s="4">
        <v>61.2</v>
      </c>
      <c r="AF110" s="4">
        <v>16.899999999999999</v>
      </c>
      <c r="AG110" s="4">
        <v>11.1</v>
      </c>
      <c r="AH110" s="4">
        <v>1.95</v>
      </c>
      <c r="AI110" s="4">
        <v>30.8</v>
      </c>
      <c r="AJ110" s="4">
        <v>55.2</v>
      </c>
      <c r="AK110" s="4">
        <v>6.92</v>
      </c>
      <c r="AL110" s="4">
        <v>20.2</v>
      </c>
      <c r="AM110" s="4">
        <v>16.5</v>
      </c>
      <c r="AN110" s="4">
        <v>0.76</v>
      </c>
      <c r="AO110" s="4">
        <v>3</v>
      </c>
      <c r="AP110" s="4">
        <v>1.51</v>
      </c>
      <c r="AQ110" s="4">
        <v>6.36</v>
      </c>
      <c r="AR110" s="4">
        <v>72</v>
      </c>
      <c r="AS110" s="4">
        <v>23.9</v>
      </c>
      <c r="AT110" s="4">
        <v>3.83</v>
      </c>
      <c r="AU110" s="4">
        <v>74.2</v>
      </c>
      <c r="AV110" s="4">
        <v>18.600000000000001</v>
      </c>
      <c r="AW110" s="4">
        <v>55</v>
      </c>
      <c r="AX110" s="4">
        <v>5.93</v>
      </c>
      <c r="AY110" s="4">
        <v>37.1</v>
      </c>
      <c r="AZ110" s="4">
        <v>2.48</v>
      </c>
      <c r="BA110" s="4">
        <v>5.04</v>
      </c>
      <c r="BB110" s="4">
        <v>16.8</v>
      </c>
      <c r="BC110" s="4">
        <v>62.8</v>
      </c>
      <c r="BD110" s="4">
        <v>1.62</v>
      </c>
      <c r="BE110" s="4">
        <v>3.84</v>
      </c>
      <c r="BF110" s="4">
        <v>11.1</v>
      </c>
      <c r="BG110" s="4">
        <v>-68</v>
      </c>
      <c r="BH110" s="4">
        <v>106</v>
      </c>
      <c r="BI110" s="4">
        <v>184</v>
      </c>
      <c r="BJ110" s="4">
        <v>202</v>
      </c>
      <c r="BK110" s="4">
        <v>256</v>
      </c>
      <c r="BL110" s="4">
        <v>77.2</v>
      </c>
      <c r="BM110" s="4">
        <v>25.1</v>
      </c>
    </row>
    <row r="111" spans="1:65" x14ac:dyDescent="0.2">
      <c r="A111" t="s">
        <v>372</v>
      </c>
      <c r="B111">
        <v>7.34</v>
      </c>
      <c r="C111">
        <v>9.01</v>
      </c>
      <c r="D111">
        <v>0.25</v>
      </c>
      <c r="E111">
        <v>57.6</v>
      </c>
      <c r="F111">
        <v>33.1</v>
      </c>
      <c r="G111">
        <v>74.8</v>
      </c>
      <c r="H111">
        <v>8.5999999999999993E-2</v>
      </c>
      <c r="I111">
        <v>6.07</v>
      </c>
      <c r="J111">
        <v>2.5499999999999998</v>
      </c>
      <c r="K111">
        <v>67.599999999999994</v>
      </c>
      <c r="L111">
        <v>40.200000000000003</v>
      </c>
      <c r="M111">
        <v>5.65</v>
      </c>
      <c r="N111">
        <v>48.8</v>
      </c>
      <c r="O111">
        <v>22.4</v>
      </c>
      <c r="P111">
        <v>21.3</v>
      </c>
      <c r="Q111">
        <v>39.799999999999997</v>
      </c>
      <c r="R111">
        <v>28.8</v>
      </c>
      <c r="S111">
        <v>12.5</v>
      </c>
      <c r="T111">
        <v>53.5</v>
      </c>
      <c r="U111">
        <v>5.24</v>
      </c>
      <c r="V111">
        <v>46.5</v>
      </c>
      <c r="W111">
        <v>4.8099999999999996</v>
      </c>
      <c r="X111">
        <v>37.9</v>
      </c>
      <c r="Y111">
        <v>1.67</v>
      </c>
      <c r="Z111">
        <v>56.4</v>
      </c>
      <c r="AA111">
        <v>4.05</v>
      </c>
      <c r="AB111">
        <v>24.2</v>
      </c>
      <c r="AC111">
        <v>4.3</v>
      </c>
      <c r="AD111">
        <v>14.6</v>
      </c>
      <c r="AE111">
        <v>49.2</v>
      </c>
      <c r="AF111">
        <v>31.7</v>
      </c>
      <c r="AG111">
        <v>11.6</v>
      </c>
      <c r="AH111">
        <v>11.2</v>
      </c>
      <c r="AI111">
        <v>39.700000000000003</v>
      </c>
      <c r="AJ111">
        <v>34.9</v>
      </c>
      <c r="AK111">
        <v>4.8600000000000003</v>
      </c>
      <c r="AL111">
        <v>4.58</v>
      </c>
      <c r="AM111">
        <v>38.9</v>
      </c>
      <c r="AN111">
        <v>0.67</v>
      </c>
      <c r="AO111">
        <v>4.9400000000000004</v>
      </c>
      <c r="AP111">
        <v>4.7300000000000004</v>
      </c>
      <c r="AQ111">
        <v>7.52</v>
      </c>
      <c r="AR111">
        <v>81.5</v>
      </c>
      <c r="AS111">
        <v>12.2</v>
      </c>
      <c r="AT111">
        <v>5.99</v>
      </c>
      <c r="AU111">
        <v>81.400000000000006</v>
      </c>
      <c r="AV111">
        <v>6.04</v>
      </c>
      <c r="AW111">
        <v>48.5</v>
      </c>
      <c r="AX111">
        <v>2.3199999999999998</v>
      </c>
      <c r="AY111">
        <v>44.6</v>
      </c>
      <c r="AZ111">
        <v>2.71</v>
      </c>
      <c r="BA111">
        <v>16.600000000000001</v>
      </c>
      <c r="BB111">
        <v>57.8</v>
      </c>
      <c r="BC111">
        <v>79.400000000000006</v>
      </c>
      <c r="BD111">
        <v>0.24</v>
      </c>
      <c r="BE111">
        <v>1.84</v>
      </c>
      <c r="BF111">
        <v>7.55</v>
      </c>
      <c r="BG111">
        <v>57.5</v>
      </c>
      <c r="BH111">
        <v>325</v>
      </c>
      <c r="BI111">
        <v>426</v>
      </c>
      <c r="BJ111">
        <v>400</v>
      </c>
      <c r="BK111">
        <v>384</v>
      </c>
      <c r="BL111">
        <v>74.3</v>
      </c>
      <c r="BM111">
        <v>26.9</v>
      </c>
    </row>
    <row r="112" spans="1:65" x14ac:dyDescent="0.2">
      <c r="A112" t="s">
        <v>383</v>
      </c>
      <c r="B112">
        <v>19.3</v>
      </c>
      <c r="C112">
        <v>3.27</v>
      </c>
      <c r="D112">
        <v>1.53</v>
      </c>
      <c r="E112">
        <v>50.7</v>
      </c>
      <c r="F112">
        <v>44.5</v>
      </c>
      <c r="G112">
        <v>69.7</v>
      </c>
      <c r="H112" s="6">
        <v>7.8300000000000002E-3</v>
      </c>
      <c r="I112">
        <v>4.8</v>
      </c>
      <c r="J112">
        <v>1.98</v>
      </c>
      <c r="K112">
        <v>64.099999999999994</v>
      </c>
      <c r="L112">
        <v>48.8</v>
      </c>
      <c r="M112">
        <v>5.61</v>
      </c>
      <c r="N112">
        <v>72.599999999999994</v>
      </c>
      <c r="O112">
        <v>15.5</v>
      </c>
      <c r="P112">
        <v>4.8600000000000003</v>
      </c>
      <c r="Q112">
        <v>17.399999999999999</v>
      </c>
      <c r="R112">
        <v>26.6</v>
      </c>
      <c r="S112">
        <v>20.399999999999999</v>
      </c>
      <c r="T112">
        <v>39.6</v>
      </c>
      <c r="U112">
        <v>13.4</v>
      </c>
      <c r="V112">
        <v>73.099999999999994</v>
      </c>
      <c r="W112">
        <v>3.27</v>
      </c>
      <c r="X112">
        <v>30.2</v>
      </c>
      <c r="Y112">
        <v>8.7100000000000009</v>
      </c>
      <c r="Z112">
        <v>40.5</v>
      </c>
      <c r="AA112">
        <v>20.6</v>
      </c>
      <c r="AB112">
        <v>14.6</v>
      </c>
      <c r="AC112">
        <v>5.92</v>
      </c>
      <c r="AD112">
        <v>8.68</v>
      </c>
      <c r="AE112">
        <v>16.100000000000001</v>
      </c>
      <c r="AF112">
        <v>69.2</v>
      </c>
      <c r="AG112">
        <v>10.4</v>
      </c>
      <c r="AH112">
        <v>1.87</v>
      </c>
      <c r="AI112">
        <v>17.7</v>
      </c>
      <c r="AJ112">
        <v>66.7</v>
      </c>
      <c r="AK112">
        <v>7.66</v>
      </c>
      <c r="AL112">
        <v>7.78</v>
      </c>
      <c r="AM112">
        <v>14.4</v>
      </c>
      <c r="AN112">
        <v>0.36</v>
      </c>
      <c r="AO112">
        <v>0.28000000000000003</v>
      </c>
      <c r="AP112">
        <v>1.27</v>
      </c>
      <c r="AQ112">
        <v>3.75</v>
      </c>
      <c r="AR112">
        <v>94.5</v>
      </c>
      <c r="AS112">
        <v>5.16</v>
      </c>
      <c r="AT112">
        <v>0.3</v>
      </c>
      <c r="AU112">
        <v>90.7</v>
      </c>
      <c r="AV112">
        <v>5.2</v>
      </c>
      <c r="AW112">
        <v>63.9</v>
      </c>
      <c r="AX112">
        <v>7.9</v>
      </c>
      <c r="AY112">
        <v>23</v>
      </c>
      <c r="AZ112">
        <v>0.64</v>
      </c>
      <c r="BA112">
        <v>10.6</v>
      </c>
      <c r="BB112">
        <v>55.3</v>
      </c>
      <c r="BC112">
        <v>52.5</v>
      </c>
      <c r="BD112">
        <v>0.25</v>
      </c>
      <c r="BE112">
        <v>1.68</v>
      </c>
      <c r="BF112">
        <v>6.2</v>
      </c>
      <c r="BG112">
        <v>30</v>
      </c>
      <c r="BH112">
        <v>429</v>
      </c>
      <c r="BI112">
        <v>582</v>
      </c>
      <c r="BJ112">
        <v>593</v>
      </c>
      <c r="BK112">
        <v>936</v>
      </c>
      <c r="BL112">
        <v>500</v>
      </c>
      <c r="BM112">
        <v>23.6</v>
      </c>
    </row>
    <row r="113" spans="1:65" x14ac:dyDescent="0.2">
      <c r="A113" s="4" t="s">
        <v>392</v>
      </c>
      <c r="B113" s="4">
        <v>6.05</v>
      </c>
      <c r="C113" s="4">
        <v>8.4499999999999993</v>
      </c>
      <c r="D113" s="4">
        <v>7.9000000000000001E-2</v>
      </c>
      <c r="E113" s="4">
        <v>46.5</v>
      </c>
      <c r="F113" s="4">
        <v>44.9</v>
      </c>
      <c r="G113" s="4">
        <v>79.8</v>
      </c>
      <c r="H113" s="4">
        <v>2.9000000000000001E-2</v>
      </c>
      <c r="I113" s="4">
        <v>2.93</v>
      </c>
      <c r="J113" s="4">
        <v>1.78</v>
      </c>
      <c r="K113" s="4">
        <v>75.599999999999994</v>
      </c>
      <c r="L113" s="4">
        <v>54.3</v>
      </c>
      <c r="M113" s="4">
        <v>1.73</v>
      </c>
      <c r="N113" s="4">
        <v>59.9</v>
      </c>
      <c r="O113" s="4">
        <v>27.2</v>
      </c>
      <c r="P113" s="4">
        <v>7.17</v>
      </c>
      <c r="Q113" s="4">
        <v>31.8</v>
      </c>
      <c r="R113" s="4">
        <v>60.3</v>
      </c>
      <c r="S113" s="4">
        <v>4.47</v>
      </c>
      <c r="T113" s="4">
        <v>28.9</v>
      </c>
      <c r="U113" s="4">
        <v>6.32</v>
      </c>
      <c r="V113" s="4">
        <v>62.1</v>
      </c>
      <c r="W113" s="4">
        <v>5.9</v>
      </c>
      <c r="X113" s="4">
        <v>53.1</v>
      </c>
      <c r="Y113" s="4">
        <v>1.18</v>
      </c>
      <c r="Z113" s="4">
        <v>39</v>
      </c>
      <c r="AA113" s="4">
        <v>6.67</v>
      </c>
      <c r="AB113" s="4">
        <v>20.5</v>
      </c>
      <c r="AC113" s="4">
        <v>7.9</v>
      </c>
      <c r="AD113" s="4">
        <v>5.04</v>
      </c>
      <c r="AE113" s="4">
        <v>47.1</v>
      </c>
      <c r="AF113" s="4">
        <v>34.5</v>
      </c>
      <c r="AG113" s="4">
        <v>9.6999999999999993</v>
      </c>
      <c r="AH113" s="4">
        <v>3.83</v>
      </c>
      <c r="AI113" s="4">
        <v>52.3</v>
      </c>
      <c r="AJ113" s="4">
        <v>36.200000000000003</v>
      </c>
      <c r="AK113" s="4">
        <v>1.38</v>
      </c>
      <c r="AL113" s="4">
        <v>11.5</v>
      </c>
      <c r="AM113" s="4">
        <v>7.76</v>
      </c>
      <c r="AN113" s="4">
        <v>0.82</v>
      </c>
      <c r="AO113" s="4">
        <v>0.93</v>
      </c>
      <c r="AP113" s="4">
        <v>3.9</v>
      </c>
      <c r="AQ113" s="4">
        <v>10.4</v>
      </c>
      <c r="AR113" s="4">
        <v>59.3</v>
      </c>
      <c r="AS113" s="4">
        <v>38.4</v>
      </c>
      <c r="AT113" s="4">
        <v>2.1</v>
      </c>
      <c r="AU113" s="4">
        <v>65.5</v>
      </c>
      <c r="AV113" s="4">
        <v>21.6</v>
      </c>
      <c r="AW113" s="4">
        <v>71.400000000000006</v>
      </c>
      <c r="AX113" s="4">
        <v>4.04</v>
      </c>
      <c r="AY113" s="4">
        <v>20.399999999999999</v>
      </c>
      <c r="AZ113" s="4">
        <v>2.54</v>
      </c>
      <c r="BA113" s="4">
        <v>8.81</v>
      </c>
      <c r="BB113" s="4">
        <v>36.9</v>
      </c>
      <c r="BC113" s="4">
        <v>60.2</v>
      </c>
      <c r="BD113" s="4">
        <v>1.39</v>
      </c>
      <c r="BE113" s="4">
        <v>1.54</v>
      </c>
      <c r="BF113" s="4">
        <v>4.92</v>
      </c>
      <c r="BG113" s="4">
        <v>-85</v>
      </c>
      <c r="BH113" s="4">
        <v>166</v>
      </c>
      <c r="BI113" s="4">
        <v>164</v>
      </c>
      <c r="BJ113" s="4">
        <v>275</v>
      </c>
      <c r="BK113" s="4">
        <v>466</v>
      </c>
      <c r="BL113" s="4">
        <v>162</v>
      </c>
      <c r="BM113" s="4">
        <v>-2.34</v>
      </c>
    </row>
    <row r="114" spans="1:65" x14ac:dyDescent="0.2">
      <c r="A114" s="4" t="s">
        <v>393</v>
      </c>
      <c r="B114" s="4">
        <v>4.87</v>
      </c>
      <c r="C114" s="4">
        <v>12.2</v>
      </c>
      <c r="D114" s="4">
        <v>0.22</v>
      </c>
      <c r="E114" s="4">
        <v>45.4</v>
      </c>
      <c r="F114" s="4">
        <v>42</v>
      </c>
      <c r="G114" s="4">
        <v>71.7</v>
      </c>
      <c r="H114" s="4">
        <v>8.4000000000000005E-2</v>
      </c>
      <c r="I114" s="4">
        <v>1.35</v>
      </c>
      <c r="J114" s="4">
        <v>1.39</v>
      </c>
      <c r="K114" s="4">
        <v>69.2</v>
      </c>
      <c r="L114" s="4">
        <v>59.6</v>
      </c>
      <c r="M114" s="4">
        <v>3.13</v>
      </c>
      <c r="N114" s="4">
        <v>63.5</v>
      </c>
      <c r="O114" s="4">
        <v>20.399999999999999</v>
      </c>
      <c r="P114" s="4">
        <v>8.0299999999999994</v>
      </c>
      <c r="Q114" s="4">
        <v>24</v>
      </c>
      <c r="R114" s="4">
        <v>29.3</v>
      </c>
      <c r="S114" s="4">
        <v>26.9</v>
      </c>
      <c r="T114" s="4">
        <v>32.700000000000003</v>
      </c>
      <c r="U114" s="4">
        <v>11.1</v>
      </c>
      <c r="V114" s="4">
        <v>67</v>
      </c>
      <c r="W114" s="4">
        <v>7.03</v>
      </c>
      <c r="X114" s="4">
        <v>30.8</v>
      </c>
      <c r="Y114" s="4">
        <v>14.7</v>
      </c>
      <c r="Z114" s="4">
        <v>32.6</v>
      </c>
      <c r="AA114" s="4">
        <v>21.9</v>
      </c>
      <c r="AB114" s="4">
        <v>8.77</v>
      </c>
      <c r="AC114" s="4">
        <v>7.19</v>
      </c>
      <c r="AD114" s="4">
        <v>11.1</v>
      </c>
      <c r="AE114" s="4">
        <v>10.1</v>
      </c>
      <c r="AF114" s="4">
        <v>68.2</v>
      </c>
      <c r="AG114" s="4">
        <v>20.7</v>
      </c>
      <c r="AH114" s="4">
        <v>2.25</v>
      </c>
      <c r="AI114" s="4">
        <v>6.41</v>
      </c>
      <c r="AJ114" s="4">
        <v>79.900000000000006</v>
      </c>
      <c r="AK114" s="4">
        <v>9.66</v>
      </c>
      <c r="AL114" s="4">
        <v>28.7</v>
      </c>
      <c r="AM114" s="4">
        <v>27.8</v>
      </c>
      <c r="AN114" s="4">
        <v>0.41</v>
      </c>
      <c r="AO114" s="4">
        <v>0.71</v>
      </c>
      <c r="AP114" s="4">
        <v>1.65</v>
      </c>
      <c r="AQ114" s="4">
        <v>2.14</v>
      </c>
      <c r="AR114" s="4">
        <v>65</v>
      </c>
      <c r="AS114" s="4">
        <v>34.1</v>
      </c>
      <c r="AT114" s="4">
        <v>0.95</v>
      </c>
      <c r="AU114" s="4">
        <v>74.8</v>
      </c>
      <c r="AV114" s="4">
        <v>23</v>
      </c>
      <c r="AW114" s="4">
        <v>31.4</v>
      </c>
      <c r="AX114" s="4">
        <v>4.47</v>
      </c>
      <c r="AY114" s="4">
        <v>59</v>
      </c>
      <c r="AZ114" s="4">
        <v>0.38</v>
      </c>
      <c r="BA114" s="4">
        <v>14.5</v>
      </c>
      <c r="BB114" s="4">
        <v>47.6</v>
      </c>
      <c r="BC114" s="4">
        <v>49.3</v>
      </c>
      <c r="BD114" s="4">
        <v>1.41</v>
      </c>
      <c r="BE114" s="4">
        <v>6.14</v>
      </c>
      <c r="BF114" s="4">
        <v>12.8</v>
      </c>
      <c r="BG114" s="4">
        <v>-100</v>
      </c>
      <c r="BH114" s="4">
        <v>108</v>
      </c>
      <c r="BI114" s="4">
        <v>115</v>
      </c>
      <c r="BJ114" s="4">
        <v>301</v>
      </c>
      <c r="BK114" s="4">
        <v>576</v>
      </c>
      <c r="BL114" s="4">
        <v>280</v>
      </c>
      <c r="BM114" s="4">
        <v>-64.8</v>
      </c>
    </row>
    <row r="115" spans="1:65" x14ac:dyDescent="0.2">
      <c r="A115" s="4" t="s">
        <v>399</v>
      </c>
      <c r="B115" s="4">
        <v>9.8000000000000007</v>
      </c>
      <c r="C115" s="4">
        <v>4.5</v>
      </c>
      <c r="D115" s="4">
        <v>3.1E-2</v>
      </c>
      <c r="E115" s="4">
        <v>25.3</v>
      </c>
      <c r="F115" s="4">
        <v>70.2</v>
      </c>
      <c r="G115" s="4">
        <v>76.8</v>
      </c>
      <c r="H115" s="4">
        <v>0.28999999999999998</v>
      </c>
      <c r="I115" s="4">
        <v>4.1500000000000004</v>
      </c>
      <c r="J115" s="4">
        <v>5.71</v>
      </c>
      <c r="K115" s="4">
        <v>66</v>
      </c>
      <c r="L115" s="4">
        <v>44.9</v>
      </c>
      <c r="M115" s="4">
        <v>4.03</v>
      </c>
      <c r="N115" s="4">
        <v>46.7</v>
      </c>
      <c r="O115" s="4">
        <v>35.4</v>
      </c>
      <c r="P115" s="4">
        <v>12.7</v>
      </c>
      <c r="Q115" s="4">
        <v>43.7</v>
      </c>
      <c r="R115" s="4">
        <v>69.599999999999994</v>
      </c>
      <c r="S115" s="4">
        <v>3.87</v>
      </c>
      <c r="T115" s="4">
        <v>20.7</v>
      </c>
      <c r="U115" s="4">
        <v>5.86</v>
      </c>
      <c r="V115" s="4">
        <v>46.1</v>
      </c>
      <c r="W115" s="4">
        <v>4.82</v>
      </c>
      <c r="X115" s="4">
        <v>67.599999999999994</v>
      </c>
      <c r="Y115" s="4">
        <v>0.44</v>
      </c>
      <c r="Z115" s="4">
        <v>29.8</v>
      </c>
      <c r="AA115" s="4">
        <v>2.13</v>
      </c>
      <c r="AB115" s="4">
        <v>19.600000000000001</v>
      </c>
      <c r="AC115" s="4">
        <v>6.45</v>
      </c>
      <c r="AD115" s="4">
        <v>10.4</v>
      </c>
      <c r="AE115" s="4">
        <v>37.1</v>
      </c>
      <c r="AF115" s="4">
        <v>46</v>
      </c>
      <c r="AG115" s="4">
        <v>11.5</v>
      </c>
      <c r="AH115" s="4">
        <v>3.85</v>
      </c>
      <c r="AI115" s="4">
        <v>25.4</v>
      </c>
      <c r="AJ115" s="4">
        <v>48.6</v>
      </c>
      <c r="AK115" s="4">
        <v>10.4</v>
      </c>
      <c r="AL115" s="4">
        <v>4.46</v>
      </c>
      <c r="AM115" s="4">
        <v>18.2</v>
      </c>
      <c r="AN115" s="4">
        <v>1.39</v>
      </c>
      <c r="AO115" s="4">
        <v>1.37</v>
      </c>
      <c r="AP115" s="4">
        <v>5.2</v>
      </c>
      <c r="AQ115" s="4">
        <v>9.52</v>
      </c>
      <c r="AR115" s="4">
        <v>46.9</v>
      </c>
      <c r="AS115" s="4">
        <v>51.2</v>
      </c>
      <c r="AT115" s="4">
        <v>1.74</v>
      </c>
      <c r="AU115" s="4">
        <v>47.8</v>
      </c>
      <c r="AV115" s="4">
        <v>40.799999999999997</v>
      </c>
      <c r="AW115" s="4">
        <v>59</v>
      </c>
      <c r="AX115" s="4">
        <v>9.08</v>
      </c>
      <c r="AY115" s="4">
        <v>23.4</v>
      </c>
      <c r="AZ115" s="4">
        <v>3.77</v>
      </c>
      <c r="BA115" s="4">
        <v>11.5</v>
      </c>
      <c r="BB115" s="4">
        <v>42.5</v>
      </c>
      <c r="BC115" s="4">
        <v>75.3</v>
      </c>
      <c r="BD115" s="4">
        <v>0.3</v>
      </c>
      <c r="BE115" s="4">
        <v>0.96</v>
      </c>
      <c r="BF115" s="4">
        <v>22.8</v>
      </c>
      <c r="BG115" s="4">
        <v>-14.8</v>
      </c>
      <c r="BH115" s="4">
        <v>278</v>
      </c>
      <c r="BI115" s="4">
        <v>204</v>
      </c>
      <c r="BJ115" s="4">
        <v>697</v>
      </c>
      <c r="BK115" s="4">
        <v>934</v>
      </c>
      <c r="BL115" s="4">
        <v>203</v>
      </c>
      <c r="BM115" s="4">
        <v>60.8</v>
      </c>
    </row>
    <row r="116" spans="1:65" x14ac:dyDescent="0.2">
      <c r="A116" t="s">
        <v>377</v>
      </c>
      <c r="B116">
        <v>11.4</v>
      </c>
      <c r="C116">
        <v>2.89</v>
      </c>
      <c r="D116" s="6">
        <v>7.0899999999999999E-3</v>
      </c>
      <c r="E116">
        <v>62.2</v>
      </c>
      <c r="F116">
        <v>34.9</v>
      </c>
      <c r="G116">
        <v>71.900000000000006</v>
      </c>
      <c r="H116">
        <v>1.2999999999999999E-2</v>
      </c>
      <c r="I116">
        <v>1.21</v>
      </c>
      <c r="J116">
        <v>1.37</v>
      </c>
      <c r="K116">
        <v>69.7</v>
      </c>
      <c r="L116">
        <v>44.3</v>
      </c>
      <c r="M116">
        <v>6.04</v>
      </c>
      <c r="N116">
        <v>44.5</v>
      </c>
      <c r="O116">
        <v>38.5</v>
      </c>
      <c r="P116">
        <v>10.3</v>
      </c>
      <c r="Q116">
        <v>42.1</v>
      </c>
      <c r="R116">
        <v>44.1</v>
      </c>
      <c r="S116">
        <v>12.3</v>
      </c>
      <c r="T116">
        <v>32</v>
      </c>
      <c r="U116">
        <v>11.6</v>
      </c>
      <c r="V116">
        <v>44.8</v>
      </c>
      <c r="W116">
        <v>6.19</v>
      </c>
      <c r="X116">
        <v>35.1</v>
      </c>
      <c r="Y116">
        <v>8.49</v>
      </c>
      <c r="Z116">
        <v>33.200000000000003</v>
      </c>
      <c r="AA116">
        <v>23.3</v>
      </c>
      <c r="AB116">
        <v>23.4</v>
      </c>
      <c r="AC116">
        <v>8.85</v>
      </c>
      <c r="AD116">
        <v>26.1</v>
      </c>
      <c r="AE116">
        <v>40.1</v>
      </c>
      <c r="AF116">
        <v>25</v>
      </c>
      <c r="AG116">
        <v>13.1</v>
      </c>
      <c r="AH116">
        <v>3.16</v>
      </c>
      <c r="AI116">
        <v>12.2</v>
      </c>
      <c r="AJ116">
        <v>78.400000000000006</v>
      </c>
      <c r="AK116">
        <v>4.07</v>
      </c>
      <c r="AL116">
        <v>8.89</v>
      </c>
      <c r="AM116">
        <v>19.8</v>
      </c>
      <c r="AN116">
        <v>0.28000000000000003</v>
      </c>
      <c r="AO116">
        <v>1.35</v>
      </c>
      <c r="AP116">
        <v>4.66</v>
      </c>
      <c r="AQ116">
        <v>4.16</v>
      </c>
      <c r="AR116">
        <v>65.8</v>
      </c>
      <c r="AS116">
        <v>32.6</v>
      </c>
      <c r="AT116">
        <v>1.53</v>
      </c>
      <c r="AU116">
        <v>62.5</v>
      </c>
      <c r="AV116">
        <v>30</v>
      </c>
      <c r="AW116">
        <v>65.599999999999994</v>
      </c>
      <c r="AX116">
        <v>2.4300000000000002</v>
      </c>
      <c r="AY116">
        <v>29.1</v>
      </c>
      <c r="AZ116">
        <v>0.63</v>
      </c>
      <c r="BA116">
        <v>3.75</v>
      </c>
      <c r="BB116">
        <v>56.3</v>
      </c>
      <c r="BC116">
        <v>49</v>
      </c>
      <c r="BD116">
        <v>0.56000000000000005</v>
      </c>
      <c r="BE116">
        <v>0.86</v>
      </c>
      <c r="BF116">
        <v>23.3</v>
      </c>
      <c r="BG116">
        <v>-119</v>
      </c>
      <c r="BH116">
        <v>276</v>
      </c>
      <c r="BI116">
        <v>188</v>
      </c>
      <c r="BJ116">
        <v>257</v>
      </c>
      <c r="BK116">
        <v>162</v>
      </c>
      <c r="BL116">
        <v>-60.9</v>
      </c>
      <c r="BM116">
        <v>-114</v>
      </c>
    </row>
    <row r="117" spans="1:65" x14ac:dyDescent="0.2">
      <c r="A117" t="s">
        <v>384</v>
      </c>
      <c r="B117">
        <v>14.6</v>
      </c>
      <c r="C117">
        <v>3.47</v>
      </c>
      <c r="D117">
        <v>2.37</v>
      </c>
      <c r="E117">
        <v>46.8</v>
      </c>
      <c r="F117">
        <v>47.4</v>
      </c>
      <c r="G117">
        <v>80.8</v>
      </c>
      <c r="H117">
        <v>0.15</v>
      </c>
      <c r="I117">
        <v>7.77</v>
      </c>
      <c r="J117">
        <v>1</v>
      </c>
      <c r="K117">
        <v>73.3</v>
      </c>
      <c r="L117">
        <v>53.7</v>
      </c>
      <c r="M117">
        <v>7.03</v>
      </c>
      <c r="N117">
        <v>55.4</v>
      </c>
      <c r="O117">
        <v>26.3</v>
      </c>
      <c r="P117">
        <v>9.6199999999999992</v>
      </c>
      <c r="Q117">
        <v>30.4</v>
      </c>
      <c r="R117">
        <v>44.1</v>
      </c>
      <c r="S117">
        <v>9.73</v>
      </c>
      <c r="T117">
        <v>37.9</v>
      </c>
      <c r="U117">
        <v>8.24</v>
      </c>
      <c r="V117">
        <v>56.3</v>
      </c>
      <c r="W117">
        <v>6.07</v>
      </c>
      <c r="X117">
        <v>45.3</v>
      </c>
      <c r="Y117">
        <v>3.36</v>
      </c>
      <c r="Z117">
        <v>40.5</v>
      </c>
      <c r="AA117">
        <v>10.8</v>
      </c>
      <c r="AB117">
        <v>18.600000000000001</v>
      </c>
      <c r="AC117">
        <v>13.7</v>
      </c>
      <c r="AD117">
        <v>19.8</v>
      </c>
      <c r="AE117">
        <v>7</v>
      </c>
      <c r="AF117">
        <v>59.5</v>
      </c>
      <c r="AG117">
        <v>7.17</v>
      </c>
      <c r="AH117">
        <v>4.54</v>
      </c>
      <c r="AI117">
        <v>41.1</v>
      </c>
      <c r="AJ117">
        <v>36.6</v>
      </c>
      <c r="AK117">
        <v>6.79</v>
      </c>
      <c r="AL117">
        <v>14.2</v>
      </c>
      <c r="AM117">
        <v>12.7</v>
      </c>
      <c r="AN117">
        <v>1.07</v>
      </c>
      <c r="AO117">
        <v>1.61</v>
      </c>
      <c r="AP117">
        <v>2.71</v>
      </c>
      <c r="AQ117">
        <v>15.9</v>
      </c>
      <c r="AR117">
        <v>91.8</v>
      </c>
      <c r="AS117">
        <v>5.79</v>
      </c>
      <c r="AT117">
        <v>2.0699999999999998</v>
      </c>
      <c r="AU117">
        <v>78.599999999999994</v>
      </c>
      <c r="AV117">
        <v>3.9</v>
      </c>
      <c r="AW117">
        <v>63.8</v>
      </c>
      <c r="AX117">
        <v>5.19</v>
      </c>
      <c r="AY117">
        <v>27.1</v>
      </c>
      <c r="AZ117">
        <v>0.47</v>
      </c>
      <c r="BA117">
        <v>10.7</v>
      </c>
      <c r="BB117">
        <v>64.3</v>
      </c>
      <c r="BC117">
        <v>66.7</v>
      </c>
      <c r="BD117">
        <v>0.31</v>
      </c>
      <c r="BE117">
        <v>1.91</v>
      </c>
      <c r="BF117">
        <v>36.5</v>
      </c>
      <c r="BG117">
        <v>15.7</v>
      </c>
      <c r="BH117">
        <v>238</v>
      </c>
      <c r="BI117">
        <v>295</v>
      </c>
      <c r="BJ117">
        <v>356</v>
      </c>
      <c r="BK117">
        <v>597</v>
      </c>
      <c r="BL117">
        <v>140</v>
      </c>
      <c r="BM117">
        <v>-28.4</v>
      </c>
    </row>
    <row r="118" spans="1:65" x14ac:dyDescent="0.2">
      <c r="A118" s="4" t="s">
        <v>394</v>
      </c>
      <c r="B118" s="4">
        <v>16.899999999999999</v>
      </c>
      <c r="C118" s="4">
        <v>3.48</v>
      </c>
      <c r="D118" s="4">
        <v>0.42</v>
      </c>
      <c r="E118" s="4">
        <v>29</v>
      </c>
      <c r="F118" s="4">
        <v>67.099999999999994</v>
      </c>
      <c r="G118" s="4">
        <v>61.6</v>
      </c>
      <c r="H118" s="4">
        <v>2.5999999999999999E-2</v>
      </c>
      <c r="I118" s="4">
        <v>4.22</v>
      </c>
      <c r="J118" s="4">
        <v>6.74</v>
      </c>
      <c r="K118" s="4">
        <v>52.2</v>
      </c>
      <c r="L118" s="4">
        <v>37.5</v>
      </c>
      <c r="M118" s="4">
        <v>4.74</v>
      </c>
      <c r="N118" s="4">
        <v>52.3</v>
      </c>
      <c r="O118" s="4">
        <v>22.6</v>
      </c>
      <c r="P118" s="4">
        <v>15.7</v>
      </c>
      <c r="Q118" s="4">
        <v>31.7</v>
      </c>
      <c r="R118" s="4">
        <v>25</v>
      </c>
      <c r="S118" s="4">
        <v>24.4</v>
      </c>
      <c r="T118" s="4">
        <v>36</v>
      </c>
      <c r="U118" s="4">
        <v>14.6</v>
      </c>
      <c r="V118" s="4">
        <v>54.7</v>
      </c>
      <c r="W118" s="4">
        <v>9.2799999999999994</v>
      </c>
      <c r="X118" s="4">
        <v>27.9</v>
      </c>
      <c r="Y118" s="4">
        <v>14.3</v>
      </c>
      <c r="Z118" s="4">
        <v>33.4</v>
      </c>
      <c r="AA118" s="4">
        <v>24.5</v>
      </c>
      <c r="AB118" s="4">
        <v>14</v>
      </c>
      <c r="AC118" s="4">
        <v>2.35</v>
      </c>
      <c r="AD118" s="4">
        <v>17.399999999999999</v>
      </c>
      <c r="AE118" s="4">
        <v>34.5</v>
      </c>
      <c r="AF118" s="4">
        <v>43.2</v>
      </c>
      <c r="AG118" s="4">
        <v>17.600000000000001</v>
      </c>
      <c r="AH118" s="4">
        <v>4.83</v>
      </c>
      <c r="AI118" s="4">
        <v>22.6</v>
      </c>
      <c r="AJ118" s="4">
        <v>56.6</v>
      </c>
      <c r="AK118" s="4">
        <v>10.7</v>
      </c>
      <c r="AL118" s="4">
        <v>21.9</v>
      </c>
      <c r="AM118" s="4">
        <v>37.700000000000003</v>
      </c>
      <c r="AN118" s="4">
        <v>0.74</v>
      </c>
      <c r="AO118" s="4">
        <v>1.87</v>
      </c>
      <c r="AP118" s="4">
        <v>2.1</v>
      </c>
      <c r="AQ118" s="4">
        <v>3.05</v>
      </c>
      <c r="AR118" s="4">
        <v>60.8</v>
      </c>
      <c r="AS118" s="4">
        <v>36.6</v>
      </c>
      <c r="AT118" s="4">
        <v>2.5499999999999998</v>
      </c>
      <c r="AU118" s="4">
        <v>76.400000000000006</v>
      </c>
      <c r="AV118" s="4">
        <v>20.2</v>
      </c>
      <c r="AW118" s="4">
        <v>29.1</v>
      </c>
      <c r="AX118" s="4">
        <v>4.1900000000000004</v>
      </c>
      <c r="AY118" s="4">
        <v>63.2</v>
      </c>
      <c r="AZ118" s="4">
        <v>1.26</v>
      </c>
      <c r="BA118" s="4">
        <v>16.3</v>
      </c>
      <c r="BB118" s="4">
        <v>73.3</v>
      </c>
      <c r="BC118" s="4">
        <v>75.7</v>
      </c>
      <c r="BD118" s="4">
        <v>1.58</v>
      </c>
      <c r="BE118" s="4">
        <v>5.93</v>
      </c>
      <c r="BF118" s="4">
        <v>32.6</v>
      </c>
      <c r="BG118" s="4">
        <v>-66.599999999999994</v>
      </c>
      <c r="BH118" s="4">
        <v>165</v>
      </c>
      <c r="BI118" s="4">
        <v>185</v>
      </c>
      <c r="BJ118" s="4">
        <v>285</v>
      </c>
      <c r="BK118" s="4">
        <v>398</v>
      </c>
      <c r="BL118" s="4">
        <v>141</v>
      </c>
      <c r="BM118" s="4">
        <v>-9.2799999999999994</v>
      </c>
    </row>
    <row r="119" spans="1:65" x14ac:dyDescent="0.2">
      <c r="A119" t="s">
        <v>368</v>
      </c>
      <c r="B119">
        <v>16</v>
      </c>
      <c r="C119">
        <v>1.03</v>
      </c>
      <c r="D119">
        <v>1.37</v>
      </c>
      <c r="E119">
        <v>24.3</v>
      </c>
      <c r="F119">
        <v>73.3</v>
      </c>
      <c r="G119">
        <v>66.7</v>
      </c>
      <c r="H119">
        <v>2.5999999999999999E-2</v>
      </c>
      <c r="I119">
        <v>3.31</v>
      </c>
      <c r="J119">
        <v>6.83</v>
      </c>
      <c r="K119">
        <v>57.5</v>
      </c>
      <c r="L119">
        <v>26.3</v>
      </c>
      <c r="M119">
        <v>5.79</v>
      </c>
      <c r="N119">
        <v>54.3</v>
      </c>
      <c r="O119">
        <v>21.3</v>
      </c>
      <c r="P119">
        <v>17</v>
      </c>
      <c r="Q119">
        <v>31.4</v>
      </c>
      <c r="R119">
        <v>59.2</v>
      </c>
      <c r="S119">
        <v>4.8</v>
      </c>
      <c r="T119">
        <v>29.3</v>
      </c>
      <c r="U119">
        <v>6.72</v>
      </c>
      <c r="V119">
        <v>55.4</v>
      </c>
      <c r="W119">
        <v>6.58</v>
      </c>
      <c r="X119">
        <v>53.9</v>
      </c>
      <c r="Y119">
        <v>2.95</v>
      </c>
      <c r="Z119">
        <v>34.6</v>
      </c>
      <c r="AA119">
        <v>8.56</v>
      </c>
      <c r="AB119">
        <v>29.6</v>
      </c>
      <c r="AC119">
        <v>2.34</v>
      </c>
      <c r="AD119">
        <v>11.6</v>
      </c>
      <c r="AE119">
        <v>30.4</v>
      </c>
      <c r="AF119">
        <v>55.7</v>
      </c>
      <c r="AG119">
        <v>13.8</v>
      </c>
      <c r="AH119">
        <v>2.17</v>
      </c>
      <c r="AI119">
        <v>17.3</v>
      </c>
      <c r="AJ119">
        <v>65.599999999999994</v>
      </c>
      <c r="AK119">
        <v>6.15</v>
      </c>
      <c r="AL119">
        <v>18.8</v>
      </c>
      <c r="AM119">
        <v>19</v>
      </c>
      <c r="AN119">
        <v>0.9</v>
      </c>
      <c r="AO119">
        <v>0.59</v>
      </c>
      <c r="AP119">
        <v>11.7</v>
      </c>
      <c r="AQ119">
        <v>2.69</v>
      </c>
      <c r="AR119">
        <v>85.8</v>
      </c>
      <c r="AS119">
        <v>12.6</v>
      </c>
      <c r="AT119">
        <v>1.54</v>
      </c>
      <c r="AU119">
        <v>75.7</v>
      </c>
      <c r="AV119">
        <v>10.6</v>
      </c>
      <c r="AW119">
        <v>45.1</v>
      </c>
      <c r="AX119">
        <v>8</v>
      </c>
      <c r="AY119">
        <v>40.6</v>
      </c>
      <c r="AZ119">
        <v>1.75</v>
      </c>
      <c r="BA119">
        <v>9.84</v>
      </c>
      <c r="BB119">
        <v>70.2</v>
      </c>
      <c r="BC119">
        <v>90.5</v>
      </c>
      <c r="BD119">
        <v>0.67</v>
      </c>
      <c r="BE119">
        <v>2.66</v>
      </c>
      <c r="BF119">
        <v>33.4</v>
      </c>
      <c r="BG119">
        <v>20.8</v>
      </c>
      <c r="BH119">
        <v>540</v>
      </c>
      <c r="BI119">
        <v>575</v>
      </c>
      <c r="BJ119">
        <v>413</v>
      </c>
      <c r="BK119">
        <v>455</v>
      </c>
      <c r="BL119">
        <v>256</v>
      </c>
      <c r="BM119">
        <v>-11.3</v>
      </c>
    </row>
    <row r="120" spans="1:65" x14ac:dyDescent="0.2">
      <c r="A120" s="4" t="s">
        <v>395</v>
      </c>
      <c r="B120" s="4">
        <v>14</v>
      </c>
      <c r="C120" s="4">
        <v>9.3699999999999992</v>
      </c>
      <c r="D120" s="4">
        <v>0.7</v>
      </c>
      <c r="E120" s="4">
        <v>59.4</v>
      </c>
      <c r="F120" s="4">
        <v>30.4</v>
      </c>
      <c r="G120" s="4">
        <v>70.3</v>
      </c>
      <c r="H120" s="4">
        <v>0.19</v>
      </c>
      <c r="I120" s="4">
        <v>3.94</v>
      </c>
      <c r="J120" s="4">
        <v>18</v>
      </c>
      <c r="K120" s="4">
        <v>49.1</v>
      </c>
      <c r="L120" s="4">
        <v>28.8</v>
      </c>
      <c r="M120" s="4">
        <v>5.76</v>
      </c>
      <c r="N120" s="4">
        <v>42.8</v>
      </c>
      <c r="O120" s="4">
        <v>26.2</v>
      </c>
      <c r="P120" s="4">
        <v>21.7</v>
      </c>
      <c r="Q120" s="4">
        <v>44.3</v>
      </c>
      <c r="R120" s="4">
        <v>41.9</v>
      </c>
      <c r="S120" s="4">
        <v>13.7</v>
      </c>
      <c r="T120" s="4">
        <v>24.6</v>
      </c>
      <c r="U120" s="4">
        <v>19.899999999999999</v>
      </c>
      <c r="V120" s="4">
        <v>44.1</v>
      </c>
      <c r="W120" s="4">
        <v>6.27</v>
      </c>
      <c r="X120" s="4">
        <v>46.7</v>
      </c>
      <c r="Y120" s="4">
        <v>4.88</v>
      </c>
      <c r="Z120" s="4">
        <v>30.8</v>
      </c>
      <c r="AA120" s="4">
        <v>17.7</v>
      </c>
      <c r="AB120" s="4">
        <v>19.100000000000001</v>
      </c>
      <c r="AC120" s="4">
        <v>4.03</v>
      </c>
      <c r="AD120" s="4">
        <v>22</v>
      </c>
      <c r="AE120" s="4">
        <v>41.4</v>
      </c>
      <c r="AF120" s="4">
        <v>29.9</v>
      </c>
      <c r="AG120" s="4">
        <v>9.58</v>
      </c>
      <c r="AH120" s="4">
        <v>1.48</v>
      </c>
      <c r="AI120" s="4">
        <v>34.4</v>
      </c>
      <c r="AJ120" s="4">
        <v>51.9</v>
      </c>
      <c r="AK120" s="4">
        <v>7.64</v>
      </c>
      <c r="AL120" s="4">
        <v>8.49</v>
      </c>
      <c r="AM120" s="4">
        <v>7.61</v>
      </c>
      <c r="AN120" s="4">
        <v>0.54</v>
      </c>
      <c r="AO120" s="4">
        <v>1.1499999999999999</v>
      </c>
      <c r="AP120" s="4">
        <v>1.29</v>
      </c>
      <c r="AQ120" s="4">
        <v>2.58</v>
      </c>
      <c r="AR120" s="4">
        <v>63</v>
      </c>
      <c r="AS120" s="4">
        <v>34.9</v>
      </c>
      <c r="AT120" s="4">
        <v>2.0099999999999998</v>
      </c>
      <c r="AU120" s="4">
        <v>74.900000000000006</v>
      </c>
      <c r="AV120" s="4">
        <v>22</v>
      </c>
      <c r="AW120" s="4">
        <v>74.599999999999994</v>
      </c>
      <c r="AX120" s="4">
        <v>4.1399999999999997</v>
      </c>
      <c r="AY120" s="4">
        <v>17.5</v>
      </c>
      <c r="AZ120" s="4">
        <v>1.6</v>
      </c>
      <c r="BA120" s="4">
        <v>13.1</v>
      </c>
      <c r="BB120" s="4">
        <v>61</v>
      </c>
      <c r="BC120" s="4">
        <v>73</v>
      </c>
      <c r="BD120" s="4">
        <v>1.48</v>
      </c>
      <c r="BE120" s="4">
        <v>4.24</v>
      </c>
      <c r="BF120" s="4">
        <v>7.44</v>
      </c>
      <c r="BG120" s="4">
        <v>-63.4</v>
      </c>
      <c r="BH120" s="4">
        <v>199</v>
      </c>
      <c r="BI120" s="4">
        <v>249</v>
      </c>
      <c r="BJ120" s="4">
        <v>320</v>
      </c>
      <c r="BK120" s="4">
        <v>810</v>
      </c>
      <c r="BL120" s="4">
        <v>236</v>
      </c>
      <c r="BM120" s="4">
        <v>-7.07</v>
      </c>
    </row>
    <row r="121" spans="1:65" x14ac:dyDescent="0.2">
      <c r="A121" t="s">
        <v>378</v>
      </c>
      <c r="B121">
        <v>4.38</v>
      </c>
      <c r="C121">
        <v>13.7</v>
      </c>
      <c r="D121">
        <v>0.18</v>
      </c>
      <c r="E121">
        <v>56.7</v>
      </c>
      <c r="F121">
        <v>29.4</v>
      </c>
      <c r="G121">
        <v>73.5</v>
      </c>
      <c r="H121">
        <v>0.05</v>
      </c>
      <c r="I121">
        <v>2.73</v>
      </c>
      <c r="J121">
        <v>5.26</v>
      </c>
      <c r="K121">
        <v>66.099999999999994</v>
      </c>
      <c r="L121">
        <v>46.5</v>
      </c>
      <c r="M121">
        <v>5.43</v>
      </c>
      <c r="N121">
        <v>60.8</v>
      </c>
      <c r="O121">
        <v>24.6</v>
      </c>
      <c r="P121">
        <v>8.34</v>
      </c>
      <c r="Q121">
        <v>26.6</v>
      </c>
      <c r="R121">
        <v>25.8</v>
      </c>
      <c r="S121">
        <v>23.9</v>
      </c>
      <c r="T121">
        <v>32.799999999999997</v>
      </c>
      <c r="U121">
        <v>17.5</v>
      </c>
      <c r="V121">
        <v>61</v>
      </c>
      <c r="W121">
        <v>6.07</v>
      </c>
      <c r="X121">
        <v>25.3</v>
      </c>
      <c r="Y121">
        <v>11.9</v>
      </c>
      <c r="Z121">
        <v>40.5</v>
      </c>
      <c r="AA121">
        <v>22.4</v>
      </c>
      <c r="AB121">
        <v>18.5</v>
      </c>
      <c r="AC121">
        <v>3.83</v>
      </c>
      <c r="AD121">
        <v>6.23</v>
      </c>
      <c r="AE121">
        <v>12.5</v>
      </c>
      <c r="AF121">
        <v>77.5</v>
      </c>
      <c r="AG121">
        <v>19.399999999999999</v>
      </c>
      <c r="AH121">
        <v>4.38</v>
      </c>
      <c r="AI121">
        <v>14.4</v>
      </c>
      <c r="AJ121">
        <v>77.2</v>
      </c>
      <c r="AK121">
        <v>2.77</v>
      </c>
      <c r="AL121">
        <v>6.91</v>
      </c>
      <c r="AM121">
        <v>23.1</v>
      </c>
      <c r="AN121">
        <v>0.4</v>
      </c>
      <c r="AO121">
        <v>1.79</v>
      </c>
      <c r="AP121">
        <v>5.61</v>
      </c>
      <c r="AQ121">
        <v>4.12</v>
      </c>
      <c r="AR121">
        <v>84</v>
      </c>
      <c r="AS121">
        <v>13.9</v>
      </c>
      <c r="AT121">
        <v>2</v>
      </c>
      <c r="AU121">
        <v>82.5</v>
      </c>
      <c r="AV121">
        <v>8.7100000000000009</v>
      </c>
      <c r="AW121">
        <v>61.8</v>
      </c>
      <c r="AX121">
        <v>4.99</v>
      </c>
      <c r="AY121">
        <v>29.9</v>
      </c>
      <c r="AZ121">
        <v>0.4</v>
      </c>
      <c r="BA121">
        <v>6.92</v>
      </c>
      <c r="BB121">
        <v>59.2</v>
      </c>
      <c r="BC121">
        <v>81.2</v>
      </c>
      <c r="BD121">
        <v>0.25</v>
      </c>
      <c r="BE121">
        <v>2.8</v>
      </c>
      <c r="BF121">
        <v>5.76</v>
      </c>
      <c r="BG121">
        <v>-47.8</v>
      </c>
      <c r="BH121">
        <v>304</v>
      </c>
      <c r="BI121">
        <v>519</v>
      </c>
      <c r="BJ121">
        <v>296</v>
      </c>
      <c r="BK121">
        <v>727</v>
      </c>
      <c r="BL121">
        <v>165</v>
      </c>
      <c r="BM121">
        <v>-92.4</v>
      </c>
    </row>
    <row r="122" spans="1:65" x14ac:dyDescent="0.2">
      <c r="A122" t="s">
        <v>369</v>
      </c>
      <c r="B122">
        <v>15.3</v>
      </c>
      <c r="C122">
        <v>7.66</v>
      </c>
      <c r="D122">
        <v>0.1</v>
      </c>
      <c r="E122">
        <v>54</v>
      </c>
      <c r="F122">
        <v>38.200000000000003</v>
      </c>
      <c r="G122">
        <v>54.6</v>
      </c>
      <c r="H122">
        <v>0.14000000000000001</v>
      </c>
      <c r="I122">
        <v>10.199999999999999</v>
      </c>
      <c r="J122">
        <v>4.22</v>
      </c>
      <c r="K122">
        <v>44.4</v>
      </c>
      <c r="L122">
        <v>27</v>
      </c>
      <c r="M122">
        <v>8.14</v>
      </c>
      <c r="N122">
        <v>21.6</v>
      </c>
      <c r="O122">
        <v>40.700000000000003</v>
      </c>
      <c r="P122">
        <v>27.9</v>
      </c>
      <c r="Q122">
        <v>54.3</v>
      </c>
      <c r="R122">
        <v>74.8</v>
      </c>
      <c r="S122">
        <v>0.92</v>
      </c>
      <c r="T122">
        <v>20.5</v>
      </c>
      <c r="U122">
        <v>3.83</v>
      </c>
      <c r="V122">
        <v>18.899999999999999</v>
      </c>
      <c r="W122">
        <v>13.4</v>
      </c>
      <c r="X122">
        <v>71.900000000000006</v>
      </c>
      <c r="Y122">
        <v>0.28000000000000003</v>
      </c>
      <c r="Z122">
        <v>26.7</v>
      </c>
      <c r="AA122">
        <v>1.1599999999999999</v>
      </c>
      <c r="AB122">
        <v>16</v>
      </c>
      <c r="AC122">
        <v>5.17</v>
      </c>
      <c r="AD122">
        <v>34.200000000000003</v>
      </c>
      <c r="AE122">
        <v>51.5</v>
      </c>
      <c r="AF122">
        <v>9.1199999999999992</v>
      </c>
      <c r="AG122">
        <v>19.600000000000001</v>
      </c>
      <c r="AH122">
        <v>2.72</v>
      </c>
      <c r="AI122">
        <v>14</v>
      </c>
      <c r="AJ122">
        <v>67.599999999999994</v>
      </c>
      <c r="AK122">
        <v>10.6</v>
      </c>
      <c r="AL122">
        <v>9.99</v>
      </c>
      <c r="AM122">
        <v>16.2</v>
      </c>
      <c r="AN122">
        <v>0.8</v>
      </c>
      <c r="AO122">
        <v>1.67</v>
      </c>
      <c r="AP122">
        <v>5.89</v>
      </c>
      <c r="AQ122">
        <v>5.86</v>
      </c>
      <c r="AR122">
        <v>80.8</v>
      </c>
      <c r="AS122">
        <v>17.8</v>
      </c>
      <c r="AT122">
        <v>1.32</v>
      </c>
      <c r="AU122">
        <v>72.5</v>
      </c>
      <c r="AV122">
        <v>20.5</v>
      </c>
      <c r="AW122">
        <v>55</v>
      </c>
      <c r="AX122">
        <v>7.43</v>
      </c>
      <c r="AY122">
        <v>27.1</v>
      </c>
      <c r="AZ122">
        <v>6.55</v>
      </c>
      <c r="BA122">
        <v>8.9</v>
      </c>
      <c r="BB122">
        <v>37.1</v>
      </c>
      <c r="BC122">
        <v>51.5</v>
      </c>
      <c r="BD122">
        <v>0.85</v>
      </c>
      <c r="BE122">
        <v>2.34</v>
      </c>
      <c r="BF122">
        <v>6.31</v>
      </c>
      <c r="BG122">
        <v>179</v>
      </c>
      <c r="BH122">
        <v>558</v>
      </c>
      <c r="BI122">
        <v>681</v>
      </c>
      <c r="BJ122">
        <v>575</v>
      </c>
      <c r="BK122">
        <v>776</v>
      </c>
      <c r="BL122">
        <v>510</v>
      </c>
      <c r="BM122">
        <v>326</v>
      </c>
    </row>
    <row r="123" spans="1:65" x14ac:dyDescent="0.2">
      <c r="A123" s="4" t="s">
        <v>400</v>
      </c>
      <c r="B123" s="4">
        <v>8.6300000000000008</v>
      </c>
      <c r="C123" s="4">
        <v>4.8499999999999996</v>
      </c>
      <c r="D123" s="4">
        <v>0.43</v>
      </c>
      <c r="E123" s="4">
        <v>30.2</v>
      </c>
      <c r="F123" s="4">
        <v>61.5</v>
      </c>
      <c r="G123" s="4">
        <v>73.900000000000006</v>
      </c>
      <c r="H123" s="16">
        <v>8.1799999999999998E-3</v>
      </c>
      <c r="I123" s="4">
        <v>4.34</v>
      </c>
      <c r="J123" s="4">
        <v>2.17</v>
      </c>
      <c r="K123" s="4">
        <v>68.2</v>
      </c>
      <c r="L123" s="4">
        <v>40.6</v>
      </c>
      <c r="M123" s="4">
        <v>7.69</v>
      </c>
      <c r="N123" s="4">
        <v>58.3</v>
      </c>
      <c r="O123" s="4">
        <v>21.6</v>
      </c>
      <c r="P123" s="4">
        <v>6.11</v>
      </c>
      <c r="Q123" s="4">
        <v>22.4</v>
      </c>
      <c r="R123" s="4">
        <v>54.1</v>
      </c>
      <c r="S123" s="4">
        <v>10.7</v>
      </c>
      <c r="T123" s="4">
        <v>21.8</v>
      </c>
      <c r="U123" s="4">
        <v>13.3</v>
      </c>
      <c r="V123" s="4">
        <v>59.7</v>
      </c>
      <c r="W123" s="4">
        <v>10.1</v>
      </c>
      <c r="X123" s="4">
        <v>37.1</v>
      </c>
      <c r="Y123" s="4">
        <v>9.52</v>
      </c>
      <c r="Z123" s="4">
        <v>28.3</v>
      </c>
      <c r="AA123" s="4">
        <v>25.1</v>
      </c>
      <c r="AB123" s="4">
        <v>27</v>
      </c>
      <c r="AC123" s="4">
        <v>4.0599999999999996</v>
      </c>
      <c r="AD123" s="4">
        <v>4.6399999999999997</v>
      </c>
      <c r="AE123" s="4">
        <v>23</v>
      </c>
      <c r="AF123" s="4">
        <v>67</v>
      </c>
      <c r="AG123" s="4">
        <v>15.5</v>
      </c>
      <c r="AH123" s="4">
        <v>3.42</v>
      </c>
      <c r="AI123" s="4">
        <v>12</v>
      </c>
      <c r="AJ123" s="4">
        <v>65.7</v>
      </c>
      <c r="AK123" s="4">
        <v>12</v>
      </c>
      <c r="AL123" s="4">
        <v>11.1</v>
      </c>
      <c r="AM123" s="4">
        <v>16</v>
      </c>
      <c r="AN123" s="4">
        <v>0.53</v>
      </c>
      <c r="AO123" s="4">
        <v>0.95</v>
      </c>
      <c r="AP123" s="4">
        <v>1.65</v>
      </c>
      <c r="AQ123" s="4">
        <v>10.4</v>
      </c>
      <c r="AR123" s="4">
        <v>47</v>
      </c>
      <c r="AS123" s="4">
        <v>51.4</v>
      </c>
      <c r="AT123" s="4">
        <v>1.5</v>
      </c>
      <c r="AU123" s="4">
        <v>59.1</v>
      </c>
      <c r="AV123" s="4">
        <v>30</v>
      </c>
      <c r="AW123" s="4">
        <v>54.9</v>
      </c>
      <c r="AX123" s="4">
        <v>3.66</v>
      </c>
      <c r="AY123" s="4">
        <v>31</v>
      </c>
      <c r="AZ123" s="4">
        <v>0.21</v>
      </c>
      <c r="BA123" s="4">
        <v>5.67</v>
      </c>
      <c r="BB123" s="4">
        <v>52.7</v>
      </c>
      <c r="BC123" s="4">
        <v>89</v>
      </c>
      <c r="BD123" s="4">
        <v>0.3</v>
      </c>
      <c r="BE123" s="4">
        <v>2.67</v>
      </c>
      <c r="BF123" s="4">
        <v>35.1</v>
      </c>
      <c r="BG123" s="4">
        <v>-6.96</v>
      </c>
      <c r="BH123" s="4">
        <v>294</v>
      </c>
      <c r="BI123" s="4">
        <v>354</v>
      </c>
      <c r="BJ123" s="4">
        <v>307</v>
      </c>
      <c r="BK123" s="4">
        <v>426</v>
      </c>
      <c r="BL123" s="4">
        <v>107</v>
      </c>
      <c r="BM123" s="4">
        <v>-12.9</v>
      </c>
    </row>
    <row r="124" spans="1:65" x14ac:dyDescent="0.2">
      <c r="A124" s="17" t="s">
        <v>359</v>
      </c>
      <c r="B124" s="17">
        <v>9.35</v>
      </c>
      <c r="C124" s="17">
        <v>3.63</v>
      </c>
      <c r="D124" s="17">
        <v>7.0999999999999994E-2</v>
      </c>
      <c r="E124" s="17">
        <v>51.3</v>
      </c>
      <c r="F124" s="17">
        <v>45</v>
      </c>
      <c r="G124" s="17">
        <v>74.5</v>
      </c>
      <c r="H124" s="17">
        <v>0.32</v>
      </c>
      <c r="I124" s="17">
        <v>3.43</v>
      </c>
      <c r="J124" s="17">
        <v>1.91</v>
      </c>
      <c r="K124" s="17">
        <v>69.5</v>
      </c>
      <c r="L124" s="17">
        <v>47.6</v>
      </c>
      <c r="M124" s="17">
        <v>5.93</v>
      </c>
      <c r="N124" s="17">
        <v>57.9</v>
      </c>
      <c r="O124" s="17">
        <v>22.3</v>
      </c>
      <c r="P124" s="17">
        <v>11.1</v>
      </c>
      <c r="Q124" s="17">
        <v>30.6</v>
      </c>
      <c r="R124" s="17">
        <v>51.5</v>
      </c>
      <c r="S124" s="17">
        <v>8.52</v>
      </c>
      <c r="T124" s="17">
        <v>27.1</v>
      </c>
      <c r="U124" s="17">
        <v>12.9</v>
      </c>
      <c r="V124" s="17">
        <v>44</v>
      </c>
      <c r="W124" s="17">
        <v>3.51</v>
      </c>
      <c r="X124" s="17">
        <v>34.799999999999997</v>
      </c>
      <c r="Y124" s="17">
        <v>6.43</v>
      </c>
      <c r="Z124" s="17">
        <v>42.5</v>
      </c>
      <c r="AA124" s="17">
        <v>16.3</v>
      </c>
      <c r="AB124" s="17">
        <v>15.4</v>
      </c>
      <c r="AC124" s="17">
        <v>4.2</v>
      </c>
      <c r="AD124" s="17">
        <v>29.3</v>
      </c>
      <c r="AE124" s="17">
        <v>29.8</v>
      </c>
      <c r="AF124" s="17">
        <v>36.700000000000003</v>
      </c>
      <c r="AG124" s="17">
        <v>14</v>
      </c>
      <c r="AH124" s="17">
        <v>3.79</v>
      </c>
      <c r="AI124" s="17">
        <v>57.2</v>
      </c>
      <c r="AJ124" s="17">
        <v>26.3</v>
      </c>
      <c r="AK124" s="17">
        <v>8.5500000000000007</v>
      </c>
      <c r="AL124" s="17">
        <v>4.6399999999999997</v>
      </c>
      <c r="AM124" s="17">
        <v>13.2</v>
      </c>
      <c r="AN124" s="17">
        <v>0.86</v>
      </c>
      <c r="AO124" s="17">
        <v>2.81</v>
      </c>
      <c r="AP124" s="17">
        <v>1.03</v>
      </c>
      <c r="AQ124" s="17">
        <v>3.79</v>
      </c>
      <c r="AR124" s="17">
        <v>59.8</v>
      </c>
      <c r="AS124" s="17">
        <v>36.5</v>
      </c>
      <c r="AT124" s="17">
        <v>3.52</v>
      </c>
      <c r="AU124" s="17">
        <v>69.8</v>
      </c>
      <c r="AV124" s="17">
        <v>25.7</v>
      </c>
      <c r="AW124" s="17">
        <v>58.2</v>
      </c>
      <c r="AX124" s="17">
        <v>2.2999999999999998</v>
      </c>
      <c r="AY124" s="17">
        <v>20.5</v>
      </c>
      <c r="AZ124" s="17">
        <v>0.37</v>
      </c>
      <c r="BA124" s="17">
        <v>3.4</v>
      </c>
      <c r="BB124" s="17">
        <v>67.900000000000006</v>
      </c>
      <c r="BC124" s="17">
        <v>84.4</v>
      </c>
      <c r="BD124" s="17">
        <v>0.25</v>
      </c>
      <c r="BE124" s="17">
        <v>2.17</v>
      </c>
      <c r="BF124" s="17">
        <v>13.8</v>
      </c>
      <c r="BG124" s="17">
        <v>-51.1</v>
      </c>
      <c r="BH124" s="17">
        <v>231</v>
      </c>
      <c r="BI124" s="17">
        <v>389</v>
      </c>
      <c r="BJ124" s="17">
        <v>274</v>
      </c>
      <c r="BK124" s="17">
        <v>228</v>
      </c>
      <c r="BL124" s="17">
        <v>129</v>
      </c>
      <c r="BM124" s="17">
        <v>-6.9</v>
      </c>
    </row>
    <row r="125" spans="1:65" x14ac:dyDescent="0.2">
      <c r="A125" t="s">
        <v>385</v>
      </c>
      <c r="B125">
        <v>10.9</v>
      </c>
      <c r="C125">
        <v>9.26</v>
      </c>
      <c r="D125">
        <v>0.42</v>
      </c>
      <c r="E125">
        <v>69.3</v>
      </c>
      <c r="F125">
        <v>21</v>
      </c>
      <c r="G125">
        <v>83</v>
      </c>
      <c r="H125">
        <v>0.14000000000000001</v>
      </c>
      <c r="I125">
        <v>7.29</v>
      </c>
      <c r="J125">
        <v>2.0099999999999998</v>
      </c>
      <c r="K125">
        <v>74.7</v>
      </c>
      <c r="L125">
        <v>54.6</v>
      </c>
      <c r="M125">
        <v>6.93</v>
      </c>
      <c r="N125">
        <v>45.2</v>
      </c>
      <c r="O125">
        <v>30.5</v>
      </c>
      <c r="P125">
        <v>15.2</v>
      </c>
      <c r="Q125">
        <v>35.700000000000003</v>
      </c>
      <c r="R125">
        <v>23.4</v>
      </c>
      <c r="S125">
        <v>17.399999999999999</v>
      </c>
      <c r="T125">
        <v>52</v>
      </c>
      <c r="U125">
        <v>7.13</v>
      </c>
      <c r="V125">
        <v>46.4</v>
      </c>
      <c r="W125">
        <v>10.5</v>
      </c>
      <c r="X125">
        <v>29</v>
      </c>
      <c r="Y125">
        <v>7.73</v>
      </c>
      <c r="Z125">
        <v>43.6</v>
      </c>
      <c r="AA125">
        <v>19.7</v>
      </c>
      <c r="AB125">
        <v>18.5</v>
      </c>
      <c r="AC125">
        <v>9.82</v>
      </c>
      <c r="AD125">
        <v>16.2</v>
      </c>
      <c r="AE125">
        <v>12.7</v>
      </c>
      <c r="AF125">
        <v>61.1</v>
      </c>
      <c r="AG125">
        <v>7.11</v>
      </c>
      <c r="AH125">
        <v>10.5</v>
      </c>
      <c r="AI125">
        <v>17.100000000000001</v>
      </c>
      <c r="AJ125">
        <v>57.1</v>
      </c>
      <c r="AK125">
        <v>10.4</v>
      </c>
      <c r="AL125">
        <v>15.7</v>
      </c>
      <c r="AM125">
        <v>14.4</v>
      </c>
      <c r="AN125">
        <v>0.72</v>
      </c>
      <c r="AO125">
        <v>1.3</v>
      </c>
      <c r="AP125">
        <v>1.38</v>
      </c>
      <c r="AQ125">
        <v>9.1300000000000008</v>
      </c>
      <c r="AR125">
        <v>92.6</v>
      </c>
      <c r="AS125">
        <v>5.48</v>
      </c>
      <c r="AT125">
        <v>1.6</v>
      </c>
      <c r="AU125">
        <v>87.3</v>
      </c>
      <c r="AV125">
        <v>2.62</v>
      </c>
      <c r="AW125">
        <v>43</v>
      </c>
      <c r="AX125">
        <v>16.8</v>
      </c>
      <c r="AY125">
        <v>36.6</v>
      </c>
      <c r="AZ125">
        <v>1.52</v>
      </c>
      <c r="BA125">
        <v>13.3</v>
      </c>
      <c r="BB125">
        <v>42</v>
      </c>
      <c r="BC125">
        <v>49.6</v>
      </c>
      <c r="BD125">
        <v>0.6</v>
      </c>
      <c r="BE125">
        <v>2.3199999999999998</v>
      </c>
      <c r="BF125">
        <v>5.76</v>
      </c>
      <c r="BG125">
        <v>28.2</v>
      </c>
      <c r="BH125">
        <v>386</v>
      </c>
      <c r="BI125">
        <v>504</v>
      </c>
      <c r="BJ125">
        <v>376</v>
      </c>
      <c r="BK125">
        <v>583</v>
      </c>
      <c r="BL125">
        <v>379</v>
      </c>
      <c r="BM125">
        <v>9.5500000000000007</v>
      </c>
    </row>
    <row r="126" spans="1:65" x14ac:dyDescent="0.2">
      <c r="A126" t="s">
        <v>370</v>
      </c>
      <c r="B126">
        <v>12</v>
      </c>
      <c r="C126">
        <v>9.4700000000000006</v>
      </c>
      <c r="D126">
        <v>0.09</v>
      </c>
      <c r="E126">
        <v>39.700000000000003</v>
      </c>
      <c r="F126">
        <v>50.7</v>
      </c>
      <c r="G126">
        <v>77.5</v>
      </c>
      <c r="H126">
        <v>0.22</v>
      </c>
      <c r="I126">
        <v>1.18</v>
      </c>
      <c r="J126">
        <v>3.03</v>
      </c>
      <c r="K126">
        <v>73.3</v>
      </c>
      <c r="L126">
        <v>41.3</v>
      </c>
      <c r="M126">
        <v>5.68</v>
      </c>
      <c r="N126">
        <v>35.6</v>
      </c>
      <c r="O126">
        <v>34.299999999999997</v>
      </c>
      <c r="P126">
        <v>24.9</v>
      </c>
      <c r="Q126">
        <v>54.5</v>
      </c>
      <c r="R126">
        <v>46.3</v>
      </c>
      <c r="S126">
        <v>13.4</v>
      </c>
      <c r="T126">
        <v>20.2</v>
      </c>
      <c r="U126">
        <v>20</v>
      </c>
      <c r="V126">
        <v>34.200000000000003</v>
      </c>
      <c r="W126">
        <v>4.0199999999999996</v>
      </c>
      <c r="X126">
        <v>52.6</v>
      </c>
      <c r="Y126">
        <v>3.72</v>
      </c>
      <c r="Z126">
        <v>29.7</v>
      </c>
      <c r="AA126">
        <v>14</v>
      </c>
      <c r="AB126">
        <v>30.4</v>
      </c>
      <c r="AC126">
        <v>3.8</v>
      </c>
      <c r="AD126">
        <v>20</v>
      </c>
      <c r="AE126">
        <v>42.8</v>
      </c>
      <c r="AF126">
        <v>33.4</v>
      </c>
      <c r="AG126">
        <v>6.43</v>
      </c>
      <c r="AH126">
        <v>2.0299999999999998</v>
      </c>
      <c r="AI126">
        <v>38.799999999999997</v>
      </c>
      <c r="AJ126">
        <v>49.7</v>
      </c>
      <c r="AK126">
        <v>2.42</v>
      </c>
      <c r="AL126">
        <v>5.73</v>
      </c>
      <c r="AM126">
        <v>11.4</v>
      </c>
      <c r="AN126">
        <v>0.8</v>
      </c>
      <c r="AO126">
        <v>0.52</v>
      </c>
      <c r="AP126">
        <v>26.3</v>
      </c>
      <c r="AQ126">
        <v>5.76</v>
      </c>
      <c r="AR126">
        <v>80.900000000000006</v>
      </c>
      <c r="AS126">
        <v>17.3</v>
      </c>
      <c r="AT126">
        <v>1.53</v>
      </c>
      <c r="AU126">
        <v>59.5</v>
      </c>
      <c r="AV126">
        <v>8.8800000000000008</v>
      </c>
      <c r="AW126">
        <v>62.6</v>
      </c>
      <c r="AX126">
        <v>11.7</v>
      </c>
      <c r="AY126">
        <v>19.399999999999999</v>
      </c>
      <c r="AZ126">
        <v>1.22</v>
      </c>
      <c r="BA126">
        <v>4.28</v>
      </c>
      <c r="BB126">
        <v>62.9</v>
      </c>
      <c r="BC126">
        <v>79.2</v>
      </c>
      <c r="BD126">
        <v>0.25</v>
      </c>
      <c r="BE126">
        <v>2.19</v>
      </c>
      <c r="BF126">
        <v>6.58</v>
      </c>
      <c r="BG126">
        <v>34</v>
      </c>
      <c r="BH126">
        <v>281</v>
      </c>
      <c r="BI126">
        <v>369</v>
      </c>
      <c r="BJ126">
        <v>216</v>
      </c>
      <c r="BK126">
        <v>384</v>
      </c>
      <c r="BL126">
        <v>136</v>
      </c>
      <c r="BM126">
        <v>-8.85</v>
      </c>
    </row>
    <row r="127" spans="1:65" x14ac:dyDescent="0.2">
      <c r="A127" t="s">
        <v>360</v>
      </c>
      <c r="B127">
        <v>10.7</v>
      </c>
      <c r="C127">
        <v>13.3</v>
      </c>
      <c r="D127">
        <v>3.4000000000000002E-2</v>
      </c>
      <c r="E127">
        <v>47.7</v>
      </c>
      <c r="F127">
        <v>39</v>
      </c>
      <c r="G127">
        <v>74</v>
      </c>
      <c r="H127">
        <v>7.0000000000000007E-2</v>
      </c>
      <c r="I127">
        <v>1.48</v>
      </c>
      <c r="J127">
        <v>3.16</v>
      </c>
      <c r="K127">
        <v>69.599999999999994</v>
      </c>
      <c r="L127">
        <v>56.4</v>
      </c>
      <c r="M127">
        <v>8.48</v>
      </c>
      <c r="N127">
        <v>45.2</v>
      </c>
      <c r="O127">
        <v>36</v>
      </c>
      <c r="P127">
        <v>8.24</v>
      </c>
      <c r="Q127">
        <v>37.799999999999997</v>
      </c>
      <c r="R127">
        <v>46</v>
      </c>
      <c r="S127">
        <v>9.2100000000000009</v>
      </c>
      <c r="T127">
        <v>31.2</v>
      </c>
      <c r="U127">
        <v>13.6</v>
      </c>
      <c r="V127">
        <v>47</v>
      </c>
      <c r="W127">
        <v>7.57</v>
      </c>
      <c r="X127">
        <v>40.5</v>
      </c>
      <c r="Y127">
        <v>2.33</v>
      </c>
      <c r="Z127">
        <v>51.1</v>
      </c>
      <c r="AA127">
        <v>6.14</v>
      </c>
      <c r="AB127">
        <v>12.4</v>
      </c>
      <c r="AC127">
        <v>8.16</v>
      </c>
      <c r="AD127">
        <v>24.6</v>
      </c>
      <c r="AE127">
        <v>13.9</v>
      </c>
      <c r="AF127">
        <v>53.2</v>
      </c>
      <c r="AG127">
        <v>11.5</v>
      </c>
      <c r="AH127">
        <v>5.75</v>
      </c>
      <c r="AI127">
        <v>29.2</v>
      </c>
      <c r="AJ127">
        <v>60.4</v>
      </c>
      <c r="AK127">
        <v>3.54</v>
      </c>
      <c r="AL127">
        <v>9.49</v>
      </c>
      <c r="AM127">
        <v>15.4</v>
      </c>
      <c r="AN127">
        <v>0.56000000000000005</v>
      </c>
      <c r="AO127">
        <v>1.0900000000000001</v>
      </c>
      <c r="AP127">
        <v>1.47</v>
      </c>
      <c r="AQ127">
        <v>2</v>
      </c>
      <c r="AR127">
        <v>63.6</v>
      </c>
      <c r="AS127">
        <v>35</v>
      </c>
      <c r="AT127">
        <v>1.37</v>
      </c>
      <c r="AU127">
        <v>85.9</v>
      </c>
      <c r="AV127">
        <v>10.9</v>
      </c>
      <c r="AW127">
        <v>59.9</v>
      </c>
      <c r="AX127">
        <v>2.69</v>
      </c>
      <c r="AY127">
        <v>26.2</v>
      </c>
      <c r="AZ127">
        <v>0.25</v>
      </c>
      <c r="BA127">
        <v>3.3</v>
      </c>
      <c r="BB127">
        <v>35.299999999999997</v>
      </c>
      <c r="BC127">
        <v>46.6</v>
      </c>
      <c r="BD127">
        <v>0.2</v>
      </c>
      <c r="BE127">
        <v>2.1</v>
      </c>
      <c r="BF127">
        <v>4.07</v>
      </c>
      <c r="BG127">
        <v>-51.4</v>
      </c>
      <c r="BH127">
        <v>80.7</v>
      </c>
      <c r="BI127">
        <v>220</v>
      </c>
      <c r="BJ127">
        <v>207</v>
      </c>
      <c r="BK127">
        <v>628</v>
      </c>
      <c r="BL127">
        <v>229</v>
      </c>
      <c r="BM127">
        <v>-13.9</v>
      </c>
    </row>
    <row r="128" spans="1:65" x14ac:dyDescent="0.2">
      <c r="A128" t="s">
        <v>386</v>
      </c>
      <c r="B128">
        <v>15.7</v>
      </c>
      <c r="C128">
        <v>3.41</v>
      </c>
      <c r="D128">
        <v>0.01</v>
      </c>
      <c r="E128">
        <v>56.3</v>
      </c>
      <c r="F128">
        <v>40.299999999999997</v>
      </c>
      <c r="G128">
        <v>73.900000000000006</v>
      </c>
      <c r="H128">
        <v>2.8000000000000001E-2</v>
      </c>
      <c r="I128">
        <v>11.4</v>
      </c>
      <c r="J128">
        <v>1.18</v>
      </c>
      <c r="K128">
        <v>64.2</v>
      </c>
      <c r="L128">
        <v>42.6</v>
      </c>
      <c r="M128">
        <v>5.61</v>
      </c>
      <c r="N128">
        <v>47.3</v>
      </c>
      <c r="O128">
        <v>35.5</v>
      </c>
      <c r="P128">
        <v>9.17</v>
      </c>
      <c r="Q128">
        <v>35.5</v>
      </c>
      <c r="R128">
        <v>28.9</v>
      </c>
      <c r="S128">
        <v>13.3</v>
      </c>
      <c r="T128">
        <v>50.8</v>
      </c>
      <c r="U128">
        <v>6.93</v>
      </c>
      <c r="V128">
        <v>48.8</v>
      </c>
      <c r="W128">
        <v>10.199999999999999</v>
      </c>
      <c r="X128">
        <v>45.8</v>
      </c>
      <c r="Y128">
        <v>2.4300000000000002</v>
      </c>
      <c r="Z128">
        <v>41.9</v>
      </c>
      <c r="AA128">
        <v>9.89</v>
      </c>
      <c r="AB128">
        <v>18.600000000000001</v>
      </c>
      <c r="AC128">
        <v>8.91</v>
      </c>
      <c r="AD128">
        <v>16.2</v>
      </c>
      <c r="AE128">
        <v>14.2</v>
      </c>
      <c r="AF128">
        <v>60.5</v>
      </c>
      <c r="AG128">
        <v>8.39</v>
      </c>
      <c r="AH128">
        <v>2.96</v>
      </c>
      <c r="AI128">
        <v>32.299999999999997</v>
      </c>
      <c r="AJ128">
        <v>43</v>
      </c>
      <c r="AK128">
        <v>11</v>
      </c>
      <c r="AL128">
        <v>10.8</v>
      </c>
      <c r="AM128">
        <v>13</v>
      </c>
      <c r="AN128">
        <v>0.52</v>
      </c>
      <c r="AO128">
        <v>1.07</v>
      </c>
      <c r="AP128">
        <v>1.33</v>
      </c>
      <c r="AQ128">
        <v>6.97</v>
      </c>
      <c r="AR128">
        <v>76</v>
      </c>
      <c r="AS128">
        <v>22.6</v>
      </c>
      <c r="AT128">
        <v>1.2</v>
      </c>
      <c r="AU128">
        <v>74.7</v>
      </c>
      <c r="AV128">
        <v>16.899999999999999</v>
      </c>
      <c r="AW128">
        <v>61.7</v>
      </c>
      <c r="AX128">
        <v>6.91</v>
      </c>
      <c r="AY128">
        <v>24.4</v>
      </c>
      <c r="AZ128">
        <v>0.43</v>
      </c>
      <c r="BA128">
        <v>3.53</v>
      </c>
      <c r="BB128">
        <v>53.9</v>
      </c>
      <c r="BC128">
        <v>52.3</v>
      </c>
      <c r="BD128">
        <v>0.26</v>
      </c>
      <c r="BE128">
        <v>0.78</v>
      </c>
      <c r="BF128">
        <v>2.2400000000000002</v>
      </c>
      <c r="BG128">
        <v>24.6</v>
      </c>
      <c r="BH128">
        <v>328</v>
      </c>
      <c r="BI128">
        <v>422</v>
      </c>
      <c r="BJ128">
        <v>523</v>
      </c>
      <c r="BK128">
        <v>1107</v>
      </c>
      <c r="BL128">
        <v>473</v>
      </c>
      <c r="BM128">
        <v>3.99</v>
      </c>
    </row>
    <row r="129" spans="1:65" x14ac:dyDescent="0.2">
      <c r="A129" t="s">
        <v>361</v>
      </c>
      <c r="B129">
        <v>6.99</v>
      </c>
      <c r="C129">
        <v>3.34</v>
      </c>
      <c r="D129" s="6">
        <v>8.8800000000000007E-3</v>
      </c>
      <c r="E129">
        <v>31.8</v>
      </c>
      <c r="F129">
        <v>64.8</v>
      </c>
      <c r="G129">
        <v>70.900000000000006</v>
      </c>
      <c r="H129">
        <v>6.5000000000000002E-2</v>
      </c>
      <c r="I129">
        <v>1.98</v>
      </c>
      <c r="J129">
        <v>8.1</v>
      </c>
      <c r="K129">
        <v>61.1</v>
      </c>
      <c r="L129">
        <v>40.6</v>
      </c>
      <c r="M129">
        <v>7.27</v>
      </c>
      <c r="N129">
        <v>56.3</v>
      </c>
      <c r="O129">
        <v>22.7</v>
      </c>
      <c r="P129">
        <v>11.9</v>
      </c>
      <c r="Q129">
        <v>30.7</v>
      </c>
      <c r="R129">
        <v>32.5</v>
      </c>
      <c r="S129">
        <v>14.9</v>
      </c>
      <c r="T129">
        <v>43</v>
      </c>
      <c r="U129">
        <v>9.6199999999999992</v>
      </c>
      <c r="V129">
        <v>56.6</v>
      </c>
      <c r="W129">
        <v>4.93</v>
      </c>
      <c r="X129">
        <v>39.6</v>
      </c>
      <c r="Y129">
        <v>3.57</v>
      </c>
      <c r="Z129">
        <v>50</v>
      </c>
      <c r="AA129">
        <v>6.85</v>
      </c>
      <c r="AB129">
        <v>19.8</v>
      </c>
      <c r="AC129">
        <v>3.81</v>
      </c>
      <c r="AD129">
        <v>11</v>
      </c>
      <c r="AE129">
        <v>13.5</v>
      </c>
      <c r="AF129">
        <v>71.599999999999994</v>
      </c>
      <c r="AG129">
        <v>19</v>
      </c>
      <c r="AH129">
        <v>1.83</v>
      </c>
      <c r="AI129">
        <v>27.9</v>
      </c>
      <c r="AJ129">
        <v>55.6</v>
      </c>
      <c r="AK129">
        <v>12</v>
      </c>
      <c r="AL129">
        <v>8.0500000000000007</v>
      </c>
      <c r="AM129">
        <v>16.399999999999999</v>
      </c>
      <c r="AN129">
        <v>0.56999999999999995</v>
      </c>
      <c r="AO129">
        <v>1.32</v>
      </c>
      <c r="AP129">
        <v>0.92</v>
      </c>
      <c r="AQ129">
        <v>1.9</v>
      </c>
      <c r="AR129">
        <v>52.2</v>
      </c>
      <c r="AS129">
        <v>45.6</v>
      </c>
      <c r="AT129">
        <v>2.0499999999999998</v>
      </c>
      <c r="AU129">
        <v>81.099999999999994</v>
      </c>
      <c r="AV129">
        <v>16.5</v>
      </c>
      <c r="AW129">
        <v>58.8</v>
      </c>
      <c r="AX129">
        <v>3.98</v>
      </c>
      <c r="AY129">
        <v>27</v>
      </c>
      <c r="AZ129">
        <v>0.25</v>
      </c>
      <c r="BA129">
        <v>4.45</v>
      </c>
      <c r="BB129">
        <v>35.9</v>
      </c>
      <c r="BC129">
        <v>47.6</v>
      </c>
      <c r="BD129">
        <v>0.19</v>
      </c>
      <c r="BE129">
        <v>3.57</v>
      </c>
      <c r="BF129">
        <v>5.68</v>
      </c>
      <c r="BG129">
        <v>-52.7</v>
      </c>
      <c r="BH129">
        <v>195</v>
      </c>
      <c r="BI129">
        <v>291</v>
      </c>
      <c r="BJ129">
        <v>214</v>
      </c>
      <c r="BK129">
        <v>365</v>
      </c>
      <c r="BL129">
        <v>176</v>
      </c>
      <c r="BM129">
        <v>2.41</v>
      </c>
    </row>
    <row r="130" spans="1:65" x14ac:dyDescent="0.2">
      <c r="A130" s="4" t="s">
        <v>396</v>
      </c>
      <c r="B130" s="4">
        <v>18.2</v>
      </c>
      <c r="C130" s="4">
        <v>2.27</v>
      </c>
      <c r="D130" s="4">
        <v>0.26</v>
      </c>
      <c r="E130" s="4">
        <v>14.8</v>
      </c>
      <c r="F130" s="4">
        <v>82.7</v>
      </c>
      <c r="G130" s="4">
        <v>67.7</v>
      </c>
      <c r="H130" s="4">
        <v>6.9000000000000006E-2</v>
      </c>
      <c r="I130" s="4">
        <v>1.39</v>
      </c>
      <c r="J130" s="4">
        <v>5.87</v>
      </c>
      <c r="K130" s="4">
        <v>60.3</v>
      </c>
      <c r="L130" s="4">
        <v>33.1</v>
      </c>
      <c r="M130" s="4">
        <v>4.6900000000000004</v>
      </c>
      <c r="N130" s="4">
        <v>55.3</v>
      </c>
      <c r="O130" s="4">
        <v>11.5</v>
      </c>
      <c r="P130" s="4">
        <v>23.2</v>
      </c>
      <c r="Q130" s="4">
        <v>32.6</v>
      </c>
      <c r="R130" s="4">
        <v>30.2</v>
      </c>
      <c r="S130" s="4">
        <v>16.2</v>
      </c>
      <c r="T130" s="4">
        <v>42</v>
      </c>
      <c r="U130" s="4">
        <v>11.6</v>
      </c>
      <c r="V130" s="4">
        <v>51</v>
      </c>
      <c r="W130" s="4">
        <v>5.77</v>
      </c>
      <c r="X130" s="4">
        <v>32.9</v>
      </c>
      <c r="Y130" s="4">
        <v>9.25</v>
      </c>
      <c r="Z130" s="4">
        <v>40.6</v>
      </c>
      <c r="AA130" s="4">
        <v>17.2</v>
      </c>
      <c r="AB130" s="4">
        <v>25.7</v>
      </c>
      <c r="AC130" s="4">
        <v>3.67</v>
      </c>
      <c r="AD130" s="4">
        <v>15.9</v>
      </c>
      <c r="AE130" s="4">
        <v>56</v>
      </c>
      <c r="AF130" s="4">
        <v>21.6</v>
      </c>
      <c r="AG130" s="4">
        <v>6.4</v>
      </c>
      <c r="AH130" s="4">
        <v>4.75</v>
      </c>
      <c r="AI130" s="4">
        <v>23.5</v>
      </c>
      <c r="AJ130" s="4">
        <v>53.5</v>
      </c>
      <c r="AK130" s="4">
        <v>12.4</v>
      </c>
      <c r="AL130" s="4">
        <v>15</v>
      </c>
      <c r="AM130" s="4">
        <v>20.100000000000001</v>
      </c>
      <c r="AN130" s="4">
        <v>1.03</v>
      </c>
      <c r="AO130" s="4">
        <v>3.48</v>
      </c>
      <c r="AP130" s="4">
        <v>1.84</v>
      </c>
      <c r="AQ130" s="4">
        <v>4.17</v>
      </c>
      <c r="AR130" s="4">
        <v>67.400000000000006</v>
      </c>
      <c r="AS130" s="4">
        <v>26.1</v>
      </c>
      <c r="AT130" s="4">
        <v>5.72</v>
      </c>
      <c r="AU130" s="4">
        <v>80.3</v>
      </c>
      <c r="AV130" s="4">
        <v>13.4</v>
      </c>
      <c r="AW130" s="4">
        <v>40.9</v>
      </c>
      <c r="AX130" s="4">
        <v>13.7</v>
      </c>
      <c r="AY130" s="4">
        <v>41.7</v>
      </c>
      <c r="AZ130" s="4">
        <v>4.57</v>
      </c>
      <c r="BA130" s="4">
        <v>10.1</v>
      </c>
      <c r="BB130" s="4">
        <v>63.7</v>
      </c>
      <c r="BC130" s="4">
        <v>68.599999999999994</v>
      </c>
      <c r="BD130" s="4">
        <v>1.91</v>
      </c>
      <c r="BE130" s="4">
        <v>2.9</v>
      </c>
      <c r="BF130" s="4">
        <v>24.2</v>
      </c>
      <c r="BG130" s="4">
        <v>-54</v>
      </c>
      <c r="BH130" s="4">
        <v>232</v>
      </c>
      <c r="BI130" s="4">
        <v>201</v>
      </c>
      <c r="BJ130" s="4">
        <v>233</v>
      </c>
      <c r="BK130" s="4">
        <v>480</v>
      </c>
      <c r="BL130" s="4">
        <v>123</v>
      </c>
      <c r="BM130" s="4">
        <v>-8.06</v>
      </c>
    </row>
    <row r="131" spans="1:65" x14ac:dyDescent="0.2">
      <c r="A131" t="s">
        <v>358</v>
      </c>
      <c r="B131">
        <v>7.25</v>
      </c>
      <c r="C131">
        <v>4.32</v>
      </c>
      <c r="D131">
        <v>0.26</v>
      </c>
      <c r="E131">
        <v>31.6</v>
      </c>
      <c r="F131">
        <v>63.8</v>
      </c>
      <c r="G131">
        <v>83.4</v>
      </c>
      <c r="H131" s="6">
        <v>4.0299999999999997E-3</v>
      </c>
      <c r="I131">
        <v>1.97</v>
      </c>
      <c r="J131">
        <v>4.43</v>
      </c>
      <c r="K131">
        <v>77.3</v>
      </c>
      <c r="L131">
        <v>42.3</v>
      </c>
      <c r="M131">
        <v>6.33</v>
      </c>
      <c r="N131">
        <v>38.6</v>
      </c>
      <c r="O131">
        <v>30.9</v>
      </c>
      <c r="P131">
        <v>23.7</v>
      </c>
      <c r="Q131">
        <v>44.5</v>
      </c>
      <c r="R131">
        <v>70.900000000000006</v>
      </c>
      <c r="S131">
        <v>1.02</v>
      </c>
      <c r="T131">
        <v>24.5</v>
      </c>
      <c r="U131">
        <v>3.62</v>
      </c>
      <c r="V131">
        <v>33.700000000000003</v>
      </c>
      <c r="W131">
        <v>9.59</v>
      </c>
      <c r="X131">
        <v>50.8</v>
      </c>
      <c r="Y131">
        <v>0.99</v>
      </c>
      <c r="Z131">
        <v>44.7</v>
      </c>
      <c r="AA131">
        <v>3.52</v>
      </c>
      <c r="AB131">
        <v>33.799999999999997</v>
      </c>
      <c r="AC131">
        <v>5.56</v>
      </c>
      <c r="AD131">
        <v>26.3</v>
      </c>
      <c r="AE131">
        <v>35.9</v>
      </c>
      <c r="AF131">
        <v>32.1</v>
      </c>
      <c r="AG131">
        <v>7.03</v>
      </c>
      <c r="AH131">
        <v>3.47</v>
      </c>
      <c r="AI131">
        <v>42.7</v>
      </c>
      <c r="AJ131">
        <v>51.4</v>
      </c>
      <c r="AK131">
        <v>0.78</v>
      </c>
      <c r="AL131">
        <v>10.1</v>
      </c>
      <c r="AM131">
        <v>26.8</v>
      </c>
      <c r="AN131">
        <v>0.54</v>
      </c>
      <c r="AO131">
        <v>4.0599999999999996</v>
      </c>
      <c r="AP131">
        <v>2.33</v>
      </c>
      <c r="AQ131">
        <v>19.100000000000001</v>
      </c>
      <c r="AR131">
        <v>73.900000000000006</v>
      </c>
      <c r="AS131">
        <v>0.26</v>
      </c>
      <c r="AT131">
        <v>4.72</v>
      </c>
      <c r="AU131">
        <v>61.5</v>
      </c>
      <c r="AV131">
        <v>14.4</v>
      </c>
      <c r="AW131">
        <v>50.9</v>
      </c>
      <c r="AX131">
        <v>4.37</v>
      </c>
      <c r="AY131">
        <v>38.4</v>
      </c>
      <c r="AZ131">
        <v>0.71</v>
      </c>
      <c r="BA131">
        <v>6.88</v>
      </c>
      <c r="BB131">
        <v>56.1</v>
      </c>
      <c r="BC131">
        <v>81.5</v>
      </c>
      <c r="BD131">
        <v>0.26</v>
      </c>
      <c r="BE131">
        <v>1.46</v>
      </c>
      <c r="BF131">
        <v>45.8</v>
      </c>
      <c r="BG131">
        <v>-120</v>
      </c>
      <c r="BH131">
        <v>155</v>
      </c>
      <c r="BI131">
        <v>210</v>
      </c>
      <c r="BJ131">
        <v>306</v>
      </c>
      <c r="BK131">
        <v>288</v>
      </c>
      <c r="BL131">
        <v>26.4</v>
      </c>
      <c r="BM131">
        <v>14.9</v>
      </c>
    </row>
    <row r="132" spans="1:65" x14ac:dyDescent="0.2">
      <c r="A132" t="s">
        <v>373</v>
      </c>
      <c r="B132">
        <v>13.7</v>
      </c>
      <c r="C132">
        <v>3.38</v>
      </c>
      <c r="D132">
        <v>0.21</v>
      </c>
      <c r="E132">
        <v>23.6</v>
      </c>
      <c r="F132">
        <v>72.8</v>
      </c>
      <c r="G132">
        <v>57.2</v>
      </c>
      <c r="H132">
        <v>2.1999999999999999E-2</v>
      </c>
      <c r="I132">
        <v>4.6399999999999997</v>
      </c>
      <c r="J132">
        <v>5.99</v>
      </c>
      <c r="K132">
        <v>48.5</v>
      </c>
      <c r="L132">
        <v>29.9</v>
      </c>
      <c r="M132">
        <v>9.58</v>
      </c>
      <c r="N132">
        <v>61.7</v>
      </c>
      <c r="O132">
        <v>17.7</v>
      </c>
      <c r="P132">
        <v>6.52</v>
      </c>
      <c r="Q132">
        <v>18.3</v>
      </c>
      <c r="R132">
        <v>30.8</v>
      </c>
      <c r="S132">
        <v>20</v>
      </c>
      <c r="T132">
        <v>36.200000000000003</v>
      </c>
      <c r="U132">
        <v>13</v>
      </c>
      <c r="V132">
        <v>65</v>
      </c>
      <c r="W132">
        <v>7.05</v>
      </c>
      <c r="X132">
        <v>36.299999999999997</v>
      </c>
      <c r="Y132">
        <v>6.6</v>
      </c>
      <c r="Z132">
        <v>46.1</v>
      </c>
      <c r="AA132">
        <v>11</v>
      </c>
      <c r="AB132">
        <v>17.3</v>
      </c>
      <c r="AC132">
        <v>4.0999999999999996</v>
      </c>
      <c r="AD132">
        <v>11.1</v>
      </c>
      <c r="AE132">
        <v>24.3</v>
      </c>
      <c r="AF132">
        <v>60.4</v>
      </c>
      <c r="AG132">
        <v>26.9</v>
      </c>
      <c r="AH132">
        <v>4.68</v>
      </c>
      <c r="AI132">
        <v>11.6</v>
      </c>
      <c r="AJ132">
        <v>77.5</v>
      </c>
      <c r="AK132">
        <v>3.13</v>
      </c>
      <c r="AL132">
        <v>4.37</v>
      </c>
      <c r="AM132">
        <v>30.8</v>
      </c>
      <c r="AN132">
        <v>0.54</v>
      </c>
      <c r="AO132">
        <v>1.51</v>
      </c>
      <c r="AP132">
        <v>16.600000000000001</v>
      </c>
      <c r="AQ132">
        <v>6.67</v>
      </c>
      <c r="AR132">
        <v>93.7</v>
      </c>
      <c r="AS132">
        <v>4.54</v>
      </c>
      <c r="AT132">
        <v>1.65</v>
      </c>
      <c r="AU132">
        <v>76.099999999999994</v>
      </c>
      <c r="AV132">
        <v>3.62</v>
      </c>
      <c r="AW132">
        <v>57.1</v>
      </c>
      <c r="AX132">
        <v>3.74</v>
      </c>
      <c r="AY132">
        <v>36</v>
      </c>
      <c r="AZ132">
        <v>1.04</v>
      </c>
      <c r="BA132">
        <v>21.3</v>
      </c>
      <c r="BB132">
        <v>54.7</v>
      </c>
      <c r="BC132">
        <v>69.3</v>
      </c>
      <c r="BD132">
        <v>0.31</v>
      </c>
      <c r="BE132">
        <v>4.8</v>
      </c>
      <c r="BF132">
        <v>9.6</v>
      </c>
      <c r="BG132">
        <v>107</v>
      </c>
      <c r="BH132">
        <v>482</v>
      </c>
      <c r="BI132">
        <v>719</v>
      </c>
      <c r="BJ132">
        <v>704</v>
      </c>
      <c r="BK132">
        <v>904</v>
      </c>
      <c r="BL132">
        <v>301</v>
      </c>
      <c r="BM132">
        <v>61.6</v>
      </c>
    </row>
    <row r="133" spans="1:65" x14ac:dyDescent="0.2">
      <c r="A133" s="4" t="s">
        <v>397</v>
      </c>
      <c r="B133" s="4">
        <v>8.25</v>
      </c>
      <c r="C133" s="4">
        <v>10.4</v>
      </c>
      <c r="D133" s="4">
        <v>0.24</v>
      </c>
      <c r="E133" s="4">
        <v>32.1</v>
      </c>
      <c r="F133" s="4">
        <v>57.1</v>
      </c>
      <c r="G133" s="4">
        <v>67.8</v>
      </c>
      <c r="H133" s="4">
        <v>7.6999999999999999E-2</v>
      </c>
      <c r="I133" s="4">
        <v>4.4800000000000004</v>
      </c>
      <c r="J133" s="4">
        <v>5.57</v>
      </c>
      <c r="K133" s="4">
        <v>59</v>
      </c>
      <c r="L133" s="4">
        <v>34.6</v>
      </c>
      <c r="M133" s="4">
        <v>4.76</v>
      </c>
      <c r="N133" s="4">
        <v>54.4</v>
      </c>
      <c r="O133" s="4">
        <v>23.4</v>
      </c>
      <c r="P133" s="4">
        <v>12.5</v>
      </c>
      <c r="Q133" s="4">
        <v>30.7</v>
      </c>
      <c r="R133" s="4">
        <v>27.2</v>
      </c>
      <c r="S133" s="4">
        <v>21.6</v>
      </c>
      <c r="T133" s="4">
        <v>33</v>
      </c>
      <c r="U133" s="4">
        <v>18.2</v>
      </c>
      <c r="V133" s="4">
        <v>57.8</v>
      </c>
      <c r="W133" s="4">
        <v>8.58</v>
      </c>
      <c r="X133" s="4">
        <v>34.9</v>
      </c>
      <c r="Y133" s="4">
        <v>8.7799999999999994</v>
      </c>
      <c r="Z133" s="4">
        <v>25.1</v>
      </c>
      <c r="AA133" s="4">
        <v>31.2</v>
      </c>
      <c r="AB133" s="4">
        <v>23.5</v>
      </c>
      <c r="AC133" s="4">
        <v>5.34</v>
      </c>
      <c r="AD133" s="4">
        <v>15.9</v>
      </c>
      <c r="AE133" s="4">
        <v>12.3</v>
      </c>
      <c r="AF133" s="4">
        <v>63.3</v>
      </c>
      <c r="AG133" s="4">
        <v>18.2</v>
      </c>
      <c r="AH133" s="4">
        <v>2.33</v>
      </c>
      <c r="AI133" s="4">
        <v>23.5</v>
      </c>
      <c r="AJ133" s="4">
        <v>65.7</v>
      </c>
      <c r="AK133" s="4">
        <v>3.74</v>
      </c>
      <c r="AL133" s="4">
        <v>25.3</v>
      </c>
      <c r="AM133" s="4">
        <v>23.9</v>
      </c>
      <c r="AN133" s="4">
        <v>1.03</v>
      </c>
      <c r="AO133" s="4">
        <v>1.85</v>
      </c>
      <c r="AP133" s="4">
        <v>3.24</v>
      </c>
      <c r="AQ133" s="4">
        <v>13</v>
      </c>
      <c r="AR133" s="4">
        <v>67.599999999999994</v>
      </c>
      <c r="AS133" s="4">
        <v>29.5</v>
      </c>
      <c r="AT133" s="4">
        <v>2.84</v>
      </c>
      <c r="AU133" s="4">
        <v>70.2</v>
      </c>
      <c r="AV133" s="4">
        <v>15.2</v>
      </c>
      <c r="AW133" s="4">
        <v>43.2</v>
      </c>
      <c r="AX133" s="4">
        <v>3.09</v>
      </c>
      <c r="AY133" s="4">
        <v>51</v>
      </c>
      <c r="AZ133" s="4">
        <v>0.87</v>
      </c>
      <c r="BA133" s="4">
        <v>15.2</v>
      </c>
      <c r="BB133" s="4">
        <v>69.7</v>
      </c>
      <c r="BC133" s="4">
        <v>60</v>
      </c>
      <c r="BD133" s="4">
        <v>1.74</v>
      </c>
      <c r="BE133" s="4">
        <v>5.76</v>
      </c>
      <c r="BF133" s="4">
        <v>11.1</v>
      </c>
      <c r="BG133" s="4">
        <v>-78.5</v>
      </c>
      <c r="BH133" s="4">
        <v>153</v>
      </c>
      <c r="BI133" s="4">
        <v>201</v>
      </c>
      <c r="BJ133" s="4">
        <v>383</v>
      </c>
      <c r="BK133" s="4">
        <v>1305</v>
      </c>
      <c r="BL133" s="4">
        <v>392</v>
      </c>
      <c r="BM133" s="4">
        <v>-18.600000000000001</v>
      </c>
    </row>
    <row r="134" spans="1:65" x14ac:dyDescent="0.2">
      <c r="A134" s="4" t="s">
        <v>401</v>
      </c>
      <c r="B134" s="4">
        <v>2.56</v>
      </c>
      <c r="C134" s="4">
        <v>17.899999999999999</v>
      </c>
      <c r="D134" s="4">
        <v>0.14000000000000001</v>
      </c>
      <c r="E134" s="4">
        <v>38.5</v>
      </c>
      <c r="F134" s="4">
        <v>41.7</v>
      </c>
      <c r="G134" s="4">
        <v>86.1</v>
      </c>
      <c r="H134" s="4">
        <v>8.4000000000000005E-2</v>
      </c>
      <c r="I134" s="4">
        <v>1.1299999999999999</v>
      </c>
      <c r="J134" s="4">
        <v>1.42</v>
      </c>
      <c r="K134" s="4">
        <v>83.4</v>
      </c>
      <c r="L134" s="4">
        <v>58.1</v>
      </c>
      <c r="M134" s="4">
        <v>5.55</v>
      </c>
      <c r="N134" s="4">
        <v>68.8</v>
      </c>
      <c r="O134" s="4">
        <v>16.2</v>
      </c>
      <c r="P134" s="4">
        <v>3.91</v>
      </c>
      <c r="Q134" s="4">
        <v>18.899999999999999</v>
      </c>
      <c r="R134" s="4">
        <v>19.600000000000001</v>
      </c>
      <c r="S134" s="4">
        <v>17.8</v>
      </c>
      <c r="T134" s="4">
        <v>51.1</v>
      </c>
      <c r="U134" s="4">
        <v>11.5</v>
      </c>
      <c r="V134" s="4">
        <v>71.400000000000006</v>
      </c>
      <c r="W134" s="4">
        <v>4.74</v>
      </c>
      <c r="X134" s="4">
        <v>12.8</v>
      </c>
      <c r="Y134" s="4">
        <v>15.8</v>
      </c>
      <c r="Z134" s="4">
        <v>52.3</v>
      </c>
      <c r="AA134" s="4">
        <v>19.100000000000001</v>
      </c>
      <c r="AB134" s="4">
        <v>24</v>
      </c>
      <c r="AC134" s="4">
        <v>3.48</v>
      </c>
      <c r="AD134" s="4">
        <v>4.2699999999999996</v>
      </c>
      <c r="AE134" s="4">
        <v>27.5</v>
      </c>
      <c r="AF134" s="4">
        <v>62</v>
      </c>
      <c r="AG134" s="4">
        <v>9.33</v>
      </c>
      <c r="AH134" s="4">
        <v>2.36</v>
      </c>
      <c r="AI134" s="4">
        <v>21.7</v>
      </c>
      <c r="AJ134" s="4">
        <v>67.599999999999994</v>
      </c>
      <c r="AK134" s="4">
        <v>4.28</v>
      </c>
      <c r="AL134" s="4">
        <v>11.2</v>
      </c>
      <c r="AM134" s="4">
        <v>4.93</v>
      </c>
      <c r="AN134" s="4">
        <v>0.27</v>
      </c>
      <c r="AO134" s="4">
        <v>0.23</v>
      </c>
      <c r="AP134" s="4">
        <v>2.4300000000000002</v>
      </c>
      <c r="AQ134" s="4">
        <v>6.94</v>
      </c>
      <c r="AR134" s="4">
        <v>59.7</v>
      </c>
      <c r="AS134" s="4">
        <v>39.700000000000003</v>
      </c>
      <c r="AT134" s="4">
        <v>0.55000000000000004</v>
      </c>
      <c r="AU134" s="4">
        <v>62.6</v>
      </c>
      <c r="AV134" s="4">
        <v>29.2</v>
      </c>
      <c r="AW134" s="4">
        <v>69.3</v>
      </c>
      <c r="AX134" s="4">
        <v>5.34</v>
      </c>
      <c r="AY134" s="4">
        <v>17.2</v>
      </c>
      <c r="AZ134" s="4">
        <v>0.55000000000000004</v>
      </c>
      <c r="BA134" s="4">
        <v>12</v>
      </c>
      <c r="BB134" s="4">
        <v>67.8</v>
      </c>
      <c r="BC134" s="4">
        <v>68.099999999999994</v>
      </c>
      <c r="BD134" s="4">
        <v>0.61</v>
      </c>
      <c r="BE134" s="4">
        <v>2.8</v>
      </c>
      <c r="BF134" s="4">
        <v>7.62</v>
      </c>
      <c r="BG134" s="4">
        <v>-34.5</v>
      </c>
      <c r="BH134" s="4">
        <v>339</v>
      </c>
      <c r="BI134" s="4">
        <v>518</v>
      </c>
      <c r="BJ134" s="4">
        <v>496</v>
      </c>
      <c r="BK134" s="4">
        <v>1407</v>
      </c>
      <c r="BL134" s="4">
        <v>276</v>
      </c>
      <c r="BM134" s="4">
        <v>-8.9600000000000009</v>
      </c>
    </row>
    <row r="135" spans="1:65" x14ac:dyDescent="0.2">
      <c r="A135" s="4" t="s">
        <v>402</v>
      </c>
      <c r="B135" s="4">
        <v>11.1</v>
      </c>
      <c r="C135" s="4">
        <v>6.61</v>
      </c>
      <c r="D135" s="4">
        <v>0.31</v>
      </c>
      <c r="E135" s="4">
        <v>42.4</v>
      </c>
      <c r="F135" s="4">
        <v>50.6</v>
      </c>
      <c r="G135" s="4">
        <v>65.8</v>
      </c>
      <c r="H135" s="4">
        <v>1.7000000000000001E-2</v>
      </c>
      <c r="I135" s="4">
        <v>0.28999999999999998</v>
      </c>
      <c r="J135" s="4">
        <v>1.29</v>
      </c>
      <c r="K135" s="4">
        <v>64.099999999999994</v>
      </c>
      <c r="L135" s="4">
        <v>31.5</v>
      </c>
      <c r="M135" s="4">
        <v>4.7300000000000004</v>
      </c>
      <c r="N135" s="4">
        <v>45.7</v>
      </c>
      <c r="O135" s="4">
        <v>18.899999999999999</v>
      </c>
      <c r="P135" s="4">
        <v>27.2</v>
      </c>
      <c r="Q135" s="4">
        <v>42</v>
      </c>
      <c r="R135" s="4">
        <v>65.8</v>
      </c>
      <c r="S135" s="4">
        <v>4.12</v>
      </c>
      <c r="T135" s="4">
        <v>15.7</v>
      </c>
      <c r="U135" s="4">
        <v>14.4</v>
      </c>
      <c r="V135" s="4">
        <v>45.8</v>
      </c>
      <c r="W135" s="4">
        <v>5.94</v>
      </c>
      <c r="X135" s="4">
        <v>53.1</v>
      </c>
      <c r="Y135" s="4">
        <v>3.5</v>
      </c>
      <c r="Z135" s="4">
        <v>23</v>
      </c>
      <c r="AA135" s="4">
        <v>20.399999999999999</v>
      </c>
      <c r="AB135" s="4">
        <v>31.3</v>
      </c>
      <c r="AC135" s="4">
        <v>4.5999999999999996</v>
      </c>
      <c r="AD135" s="4">
        <v>34.9</v>
      </c>
      <c r="AE135" s="4">
        <v>52.9</v>
      </c>
      <c r="AF135" s="4">
        <v>6.51</v>
      </c>
      <c r="AG135" s="4">
        <v>7.97</v>
      </c>
      <c r="AH135" s="4">
        <v>6.95</v>
      </c>
      <c r="AI135" s="4">
        <v>49.2</v>
      </c>
      <c r="AJ135" s="4">
        <v>35.700000000000003</v>
      </c>
      <c r="AK135" s="4">
        <v>1.77</v>
      </c>
      <c r="AL135" s="4">
        <v>17.7</v>
      </c>
      <c r="AM135" s="4">
        <v>31.1</v>
      </c>
      <c r="AN135" s="4">
        <v>1.6</v>
      </c>
      <c r="AO135" s="4">
        <v>5.05</v>
      </c>
      <c r="AP135" s="4">
        <v>3.06</v>
      </c>
      <c r="AQ135" s="4">
        <v>31.5</v>
      </c>
      <c r="AR135" s="4">
        <v>51.5</v>
      </c>
      <c r="AS135" s="4">
        <v>40.6</v>
      </c>
      <c r="AT135" s="4">
        <v>0.6</v>
      </c>
      <c r="AU135" s="4">
        <v>40.200000000000003</v>
      </c>
      <c r="AV135" s="4">
        <v>23.9</v>
      </c>
      <c r="AW135" s="4">
        <v>41.9</v>
      </c>
      <c r="AX135" s="4">
        <v>3.48</v>
      </c>
      <c r="AY135" s="4">
        <v>50.1</v>
      </c>
      <c r="AZ135" s="4">
        <v>3.02</v>
      </c>
      <c r="BA135" s="4">
        <v>11.9</v>
      </c>
      <c r="BB135" s="4">
        <v>69.8</v>
      </c>
      <c r="BC135" s="4">
        <v>48.7</v>
      </c>
      <c r="BD135" s="4">
        <v>2.25</v>
      </c>
      <c r="BE135" s="4">
        <v>3.47</v>
      </c>
      <c r="BF135" s="4">
        <v>24.8</v>
      </c>
      <c r="BG135" s="4">
        <v>-59.9</v>
      </c>
      <c r="BH135" s="4">
        <v>111</v>
      </c>
      <c r="BI135" s="4">
        <v>99.3</v>
      </c>
      <c r="BJ135" s="4">
        <v>97.1</v>
      </c>
      <c r="BK135" s="4">
        <v>49.3</v>
      </c>
      <c r="BL135" s="4">
        <v>38.9</v>
      </c>
      <c r="BM135" s="4">
        <v>-15.7</v>
      </c>
    </row>
    <row r="136" spans="1:65" x14ac:dyDescent="0.2">
      <c r="A136" t="s">
        <v>374</v>
      </c>
      <c r="B136">
        <v>12.2</v>
      </c>
      <c r="C136">
        <v>3.73</v>
      </c>
      <c r="D136">
        <v>0.71</v>
      </c>
      <c r="E136">
        <v>26</v>
      </c>
      <c r="F136">
        <v>69.599999999999994</v>
      </c>
      <c r="G136">
        <v>69.099999999999994</v>
      </c>
      <c r="H136">
        <v>1.4999999999999999E-2</v>
      </c>
      <c r="I136">
        <v>4.1399999999999997</v>
      </c>
      <c r="J136">
        <v>4.6399999999999997</v>
      </c>
      <c r="K136">
        <v>61.5</v>
      </c>
      <c r="L136">
        <v>36.1</v>
      </c>
      <c r="M136">
        <v>9.33</v>
      </c>
      <c r="N136">
        <v>56.8</v>
      </c>
      <c r="O136">
        <v>19.2</v>
      </c>
      <c r="P136">
        <v>9.8699999999999992</v>
      </c>
      <c r="Q136">
        <v>24.2</v>
      </c>
      <c r="R136">
        <v>21.6</v>
      </c>
      <c r="S136">
        <v>26.5</v>
      </c>
      <c r="T136">
        <v>40.799999999999997</v>
      </c>
      <c r="U136">
        <v>11.1</v>
      </c>
      <c r="V136">
        <v>59.2</v>
      </c>
      <c r="W136">
        <v>6.37</v>
      </c>
      <c r="X136">
        <v>40.1</v>
      </c>
      <c r="Y136">
        <v>4.3499999999999996</v>
      </c>
      <c r="Z136">
        <v>46.5</v>
      </c>
      <c r="AA136">
        <v>9.01</v>
      </c>
      <c r="AB136">
        <v>24.4</v>
      </c>
      <c r="AC136">
        <v>2.88</v>
      </c>
      <c r="AD136">
        <v>3.38</v>
      </c>
      <c r="AE136">
        <v>6.76</v>
      </c>
      <c r="AF136">
        <v>86.9</v>
      </c>
      <c r="AG136">
        <v>17</v>
      </c>
      <c r="AH136">
        <v>3.94</v>
      </c>
      <c r="AI136">
        <v>21.1</v>
      </c>
      <c r="AJ136">
        <v>59.6</v>
      </c>
      <c r="AK136">
        <v>10</v>
      </c>
      <c r="AL136">
        <v>4.01</v>
      </c>
      <c r="AM136">
        <v>26.5</v>
      </c>
      <c r="AN136">
        <v>0.26</v>
      </c>
      <c r="AO136">
        <v>1.39</v>
      </c>
      <c r="AP136">
        <v>1.6</v>
      </c>
      <c r="AQ136">
        <v>2.6</v>
      </c>
      <c r="AR136">
        <v>91.5</v>
      </c>
      <c r="AS136">
        <v>6.86</v>
      </c>
      <c r="AT136">
        <v>1.5</v>
      </c>
      <c r="AU136">
        <v>91</v>
      </c>
      <c r="AV136">
        <v>5.58</v>
      </c>
      <c r="AW136">
        <v>64.3</v>
      </c>
      <c r="AX136">
        <v>2.35</v>
      </c>
      <c r="AY136">
        <v>31.1</v>
      </c>
      <c r="AZ136">
        <v>0.28000000000000003</v>
      </c>
      <c r="BA136">
        <v>11.3</v>
      </c>
      <c r="BB136">
        <v>37.299999999999997</v>
      </c>
      <c r="BC136">
        <v>50.1</v>
      </c>
      <c r="BD136">
        <v>0.28000000000000003</v>
      </c>
      <c r="BE136">
        <v>3.27</v>
      </c>
      <c r="BF136">
        <v>6.55</v>
      </c>
      <c r="BG136">
        <v>74.5</v>
      </c>
      <c r="BH136">
        <v>446</v>
      </c>
      <c r="BI136">
        <v>604</v>
      </c>
      <c r="BJ136">
        <v>509</v>
      </c>
      <c r="BK136">
        <v>826</v>
      </c>
      <c r="BL136">
        <v>396</v>
      </c>
      <c r="BM136">
        <v>20.7</v>
      </c>
    </row>
    <row r="137" spans="1:65" x14ac:dyDescent="0.2">
      <c r="A137" t="s">
        <v>387</v>
      </c>
      <c r="B137">
        <v>12.2</v>
      </c>
      <c r="C137">
        <v>3.06</v>
      </c>
      <c r="D137">
        <v>0.64</v>
      </c>
      <c r="E137">
        <v>32.4</v>
      </c>
      <c r="F137">
        <v>63.9</v>
      </c>
      <c r="G137">
        <v>69.2</v>
      </c>
      <c r="H137">
        <v>1.7999999999999999E-2</v>
      </c>
      <c r="I137">
        <v>0.28999999999999998</v>
      </c>
      <c r="J137">
        <v>2.36</v>
      </c>
      <c r="K137">
        <v>66.599999999999994</v>
      </c>
      <c r="L137">
        <v>51.6</v>
      </c>
      <c r="M137">
        <v>5.36</v>
      </c>
      <c r="N137">
        <v>54.7</v>
      </c>
      <c r="O137">
        <v>31.9</v>
      </c>
      <c r="P137">
        <v>5.43</v>
      </c>
      <c r="Q137">
        <v>30.4</v>
      </c>
      <c r="R137">
        <v>54.8</v>
      </c>
      <c r="S137">
        <v>4.37</v>
      </c>
      <c r="T137">
        <v>33.200000000000003</v>
      </c>
      <c r="U137">
        <v>7.64</v>
      </c>
      <c r="V137">
        <v>56.8</v>
      </c>
      <c r="W137">
        <v>7.45</v>
      </c>
      <c r="X137">
        <v>48.1</v>
      </c>
      <c r="Y137">
        <v>3.05</v>
      </c>
      <c r="Z137">
        <v>40.6</v>
      </c>
      <c r="AA137">
        <v>8.23</v>
      </c>
      <c r="AB137">
        <v>14.3</v>
      </c>
      <c r="AC137">
        <v>8.77</v>
      </c>
      <c r="AD137">
        <v>7.86</v>
      </c>
      <c r="AE137">
        <v>15.2</v>
      </c>
      <c r="AF137">
        <v>68.099999999999994</v>
      </c>
      <c r="AG137">
        <v>18</v>
      </c>
      <c r="AH137">
        <v>1.1299999999999999</v>
      </c>
      <c r="AI137">
        <v>5.44</v>
      </c>
      <c r="AJ137">
        <v>85.1</v>
      </c>
      <c r="AK137">
        <v>6.52</v>
      </c>
      <c r="AL137">
        <v>26.8</v>
      </c>
      <c r="AM137">
        <v>23.9</v>
      </c>
      <c r="AN137">
        <v>0.6</v>
      </c>
      <c r="AO137">
        <v>0.57999999999999996</v>
      </c>
      <c r="AP137">
        <v>2.13</v>
      </c>
      <c r="AQ137">
        <v>6.3</v>
      </c>
      <c r="AR137">
        <v>96.4</v>
      </c>
      <c r="AS137">
        <v>2.98</v>
      </c>
      <c r="AT137">
        <v>0.54</v>
      </c>
      <c r="AU137">
        <v>90.3</v>
      </c>
      <c r="AV137">
        <v>3.09</v>
      </c>
      <c r="AW137">
        <v>39.299999999999997</v>
      </c>
      <c r="AX137">
        <v>6.14</v>
      </c>
      <c r="AY137">
        <v>50.9</v>
      </c>
      <c r="AZ137">
        <v>1.42</v>
      </c>
      <c r="BA137">
        <v>16.2</v>
      </c>
      <c r="BB137">
        <v>53.7</v>
      </c>
      <c r="BC137">
        <v>68.900000000000006</v>
      </c>
      <c r="BD137">
        <v>0.62</v>
      </c>
      <c r="BE137">
        <v>1.86</v>
      </c>
      <c r="BF137">
        <v>8.17</v>
      </c>
      <c r="BG137">
        <v>31.5</v>
      </c>
      <c r="BH137">
        <v>424</v>
      </c>
      <c r="BI137">
        <v>434</v>
      </c>
      <c r="BJ137">
        <v>474</v>
      </c>
      <c r="BK137">
        <v>655</v>
      </c>
      <c r="BL137">
        <v>305</v>
      </c>
      <c r="BM137">
        <v>44.1</v>
      </c>
    </row>
    <row r="138" spans="1:65" x14ac:dyDescent="0.2">
      <c r="A138" t="s">
        <v>388</v>
      </c>
      <c r="B138">
        <v>8.85</v>
      </c>
      <c r="C138">
        <v>12.8</v>
      </c>
      <c r="D138">
        <v>2.83</v>
      </c>
      <c r="E138">
        <v>41.7</v>
      </c>
      <c r="F138">
        <v>42.6</v>
      </c>
      <c r="G138">
        <v>82.3</v>
      </c>
      <c r="H138">
        <v>2.3E-2</v>
      </c>
      <c r="I138">
        <v>0.91</v>
      </c>
      <c r="J138">
        <v>2.6</v>
      </c>
      <c r="K138">
        <v>78.5</v>
      </c>
      <c r="L138">
        <v>58.7</v>
      </c>
      <c r="M138">
        <v>5.31</v>
      </c>
      <c r="N138">
        <v>46</v>
      </c>
      <c r="O138">
        <v>37.5</v>
      </c>
      <c r="P138">
        <v>8.59</v>
      </c>
      <c r="Q138">
        <v>32.6</v>
      </c>
      <c r="R138">
        <v>19</v>
      </c>
      <c r="S138">
        <v>23.3</v>
      </c>
      <c r="T138">
        <v>51.5</v>
      </c>
      <c r="U138">
        <v>6.24</v>
      </c>
      <c r="V138">
        <v>41.5</v>
      </c>
      <c r="W138">
        <v>14.3</v>
      </c>
      <c r="X138">
        <v>19.2</v>
      </c>
      <c r="Y138">
        <v>16.5</v>
      </c>
      <c r="Z138">
        <v>41.5</v>
      </c>
      <c r="AA138">
        <v>22.7</v>
      </c>
      <c r="AB138">
        <v>18.7</v>
      </c>
      <c r="AC138">
        <v>11</v>
      </c>
      <c r="AD138">
        <v>15.2</v>
      </c>
      <c r="AE138">
        <v>31.8</v>
      </c>
      <c r="AF138">
        <v>42</v>
      </c>
      <c r="AG138">
        <v>9.43</v>
      </c>
      <c r="AH138">
        <v>3.73</v>
      </c>
      <c r="AI138">
        <v>26.2</v>
      </c>
      <c r="AJ138">
        <v>58.1</v>
      </c>
      <c r="AK138">
        <v>7.36</v>
      </c>
      <c r="AL138">
        <v>23.2</v>
      </c>
      <c r="AM138">
        <v>13.2</v>
      </c>
      <c r="AN138">
        <v>1.49</v>
      </c>
      <c r="AO138">
        <v>2.14</v>
      </c>
      <c r="AP138">
        <v>3.11</v>
      </c>
      <c r="AQ138">
        <v>17.8</v>
      </c>
      <c r="AR138">
        <v>93.3</v>
      </c>
      <c r="AS138">
        <v>3.86</v>
      </c>
      <c r="AT138">
        <v>2.29</v>
      </c>
      <c r="AU138">
        <v>78.5</v>
      </c>
      <c r="AV138">
        <v>3.34</v>
      </c>
      <c r="AW138">
        <v>54.9</v>
      </c>
      <c r="AX138">
        <v>5.47</v>
      </c>
      <c r="AY138">
        <v>36.700000000000003</v>
      </c>
      <c r="AZ138">
        <v>0.91</v>
      </c>
      <c r="BA138">
        <v>5.24</v>
      </c>
      <c r="BB138">
        <v>53.7</v>
      </c>
      <c r="BC138">
        <v>69.3</v>
      </c>
      <c r="BD138">
        <v>1.64</v>
      </c>
      <c r="BE138">
        <v>1.51</v>
      </c>
      <c r="BF138">
        <v>25</v>
      </c>
      <c r="BG138">
        <v>100</v>
      </c>
      <c r="BH138">
        <v>422</v>
      </c>
      <c r="BI138">
        <v>466</v>
      </c>
      <c r="BJ138">
        <v>558</v>
      </c>
      <c r="BK138">
        <v>491</v>
      </c>
      <c r="BL138">
        <v>182</v>
      </c>
      <c r="BM138">
        <v>61.1</v>
      </c>
    </row>
    <row r="139" spans="1:65" x14ac:dyDescent="0.2">
      <c r="A139" t="s">
        <v>362</v>
      </c>
      <c r="B139">
        <v>3.84</v>
      </c>
      <c r="C139">
        <v>5.84</v>
      </c>
      <c r="D139">
        <v>6.4000000000000001E-2</v>
      </c>
      <c r="E139">
        <v>50.4</v>
      </c>
      <c r="F139">
        <v>43.7</v>
      </c>
      <c r="G139">
        <v>82.6</v>
      </c>
      <c r="H139" s="6">
        <v>6.7200000000000003E-3</v>
      </c>
      <c r="I139">
        <v>1.98</v>
      </c>
      <c r="J139">
        <v>15.2</v>
      </c>
      <c r="K139">
        <v>65.599999999999994</v>
      </c>
      <c r="L139">
        <v>24.7</v>
      </c>
      <c r="M139">
        <v>8.89</v>
      </c>
      <c r="N139">
        <v>37.4</v>
      </c>
      <c r="O139">
        <v>30.5</v>
      </c>
      <c r="P139">
        <v>20.100000000000001</v>
      </c>
      <c r="Q139">
        <v>41.7</v>
      </c>
      <c r="R139">
        <v>44.8</v>
      </c>
      <c r="S139">
        <v>10.199999999999999</v>
      </c>
      <c r="T139">
        <v>38.9</v>
      </c>
      <c r="U139">
        <v>6.08</v>
      </c>
      <c r="V139">
        <v>36.5</v>
      </c>
      <c r="W139">
        <v>9.74</v>
      </c>
      <c r="X139">
        <v>27.3</v>
      </c>
      <c r="Y139">
        <v>7.46</v>
      </c>
      <c r="Z139">
        <v>53.5</v>
      </c>
      <c r="AA139">
        <v>11.7</v>
      </c>
      <c r="AB139">
        <v>40.299999999999997</v>
      </c>
      <c r="AC139">
        <v>2.33</v>
      </c>
      <c r="AD139">
        <v>23.1</v>
      </c>
      <c r="AE139">
        <v>59.9</v>
      </c>
      <c r="AF139">
        <v>14.7</v>
      </c>
      <c r="AG139">
        <v>11.1</v>
      </c>
      <c r="AH139">
        <v>4.6500000000000004</v>
      </c>
      <c r="AI139">
        <v>19.8</v>
      </c>
      <c r="AJ139">
        <v>57.8</v>
      </c>
      <c r="AK139">
        <v>14.7</v>
      </c>
      <c r="AL139">
        <v>14</v>
      </c>
      <c r="AM139">
        <v>29.8</v>
      </c>
      <c r="AN139">
        <v>0.69</v>
      </c>
      <c r="AO139">
        <v>1.17</v>
      </c>
      <c r="AP139">
        <v>0.74</v>
      </c>
      <c r="AQ139">
        <v>1.08</v>
      </c>
      <c r="AR139">
        <v>65.400000000000006</v>
      </c>
      <c r="AS139">
        <v>33.200000000000003</v>
      </c>
      <c r="AT139">
        <v>1.36</v>
      </c>
      <c r="AU139">
        <v>79.2</v>
      </c>
      <c r="AV139">
        <v>19.399999999999999</v>
      </c>
      <c r="AW139">
        <v>33.9</v>
      </c>
      <c r="AX139">
        <v>3.64</v>
      </c>
      <c r="AY139">
        <v>45.8</v>
      </c>
      <c r="AZ139">
        <v>1.29</v>
      </c>
      <c r="BA139">
        <v>8.83</v>
      </c>
      <c r="BB139">
        <v>68.900000000000006</v>
      </c>
      <c r="BC139">
        <v>48.2</v>
      </c>
      <c r="BD139">
        <v>0.18</v>
      </c>
      <c r="BE139">
        <v>4.59</v>
      </c>
      <c r="BF139">
        <v>41.3</v>
      </c>
      <c r="BG139">
        <v>-60.2</v>
      </c>
      <c r="BH139">
        <v>192</v>
      </c>
      <c r="BI139">
        <v>340</v>
      </c>
      <c r="BJ139">
        <v>264</v>
      </c>
      <c r="BK139">
        <v>374</v>
      </c>
      <c r="BL139">
        <v>63.9</v>
      </c>
      <c r="BM139">
        <v>25.7</v>
      </c>
    </row>
    <row r="140" spans="1:65" x14ac:dyDescent="0.2">
      <c r="A140" s="17" t="s">
        <v>363</v>
      </c>
      <c r="B140" s="17">
        <v>7.04</v>
      </c>
      <c r="C140" s="17">
        <v>22.5</v>
      </c>
      <c r="D140" s="17">
        <v>1.24</v>
      </c>
      <c r="E140" s="17">
        <v>54.7</v>
      </c>
      <c r="F140" s="17">
        <v>21.5</v>
      </c>
      <c r="G140" s="17">
        <v>75.400000000000006</v>
      </c>
      <c r="H140" s="17">
        <v>3.76</v>
      </c>
      <c r="I140" s="17">
        <v>7.05</v>
      </c>
      <c r="J140" s="17">
        <v>2.73</v>
      </c>
      <c r="K140" s="17">
        <v>63.4</v>
      </c>
      <c r="L140" s="17">
        <v>46.8</v>
      </c>
      <c r="M140" s="17">
        <v>7.91</v>
      </c>
      <c r="N140" s="17">
        <v>45.6</v>
      </c>
      <c r="O140" s="17">
        <v>32.6</v>
      </c>
      <c r="P140" s="17">
        <v>11.9</v>
      </c>
      <c r="Q140" s="17">
        <v>39</v>
      </c>
      <c r="R140" s="17">
        <v>22</v>
      </c>
      <c r="S140" s="17">
        <v>29.7</v>
      </c>
      <c r="T140" s="17">
        <v>31.7</v>
      </c>
      <c r="U140" s="17">
        <v>16.600000000000001</v>
      </c>
      <c r="V140" s="17">
        <v>45.5</v>
      </c>
      <c r="W140" s="17">
        <v>6.52</v>
      </c>
      <c r="X140" s="17">
        <v>30.8</v>
      </c>
      <c r="Y140" s="17">
        <v>10</v>
      </c>
      <c r="Z140" s="17">
        <v>46.8</v>
      </c>
      <c r="AA140" s="17">
        <v>12.4</v>
      </c>
      <c r="AB140" s="17">
        <v>15.2</v>
      </c>
      <c r="AC140" s="17">
        <v>2.72</v>
      </c>
      <c r="AD140" s="17">
        <v>16.899999999999999</v>
      </c>
      <c r="AE140" s="17">
        <v>25.8</v>
      </c>
      <c r="AF140" s="17">
        <v>54.5</v>
      </c>
      <c r="AG140" s="17">
        <v>15.4</v>
      </c>
      <c r="AH140" s="17">
        <v>3.01</v>
      </c>
      <c r="AI140" s="17">
        <v>14</v>
      </c>
      <c r="AJ140" s="17">
        <v>64.599999999999994</v>
      </c>
      <c r="AK140" s="17">
        <v>16.399999999999999</v>
      </c>
      <c r="AL140" s="17">
        <v>13.3</v>
      </c>
      <c r="AM140" s="17">
        <v>31.8</v>
      </c>
      <c r="AN140" s="17">
        <v>0.37</v>
      </c>
      <c r="AO140" s="17">
        <v>0.85</v>
      </c>
      <c r="AP140" s="17">
        <v>0.94</v>
      </c>
      <c r="AQ140" s="17">
        <v>0.8</v>
      </c>
      <c r="AR140" s="17">
        <v>68.599999999999994</v>
      </c>
      <c r="AS140" s="17">
        <v>30.3</v>
      </c>
      <c r="AT140" s="17">
        <v>1</v>
      </c>
      <c r="AU140" s="17">
        <v>90.1</v>
      </c>
      <c r="AV140" s="17">
        <v>9.09</v>
      </c>
      <c r="AW140" s="17">
        <v>34.799999999999997</v>
      </c>
      <c r="AX140" s="17">
        <v>2.3199999999999998</v>
      </c>
      <c r="AY140" s="17">
        <v>46.5</v>
      </c>
      <c r="AZ140" s="17">
        <v>0.15</v>
      </c>
      <c r="BA140" s="17">
        <v>2.35</v>
      </c>
      <c r="BB140" s="17">
        <v>20</v>
      </c>
      <c r="BC140" s="17">
        <v>40.799999999999997</v>
      </c>
      <c r="BD140" s="17">
        <v>0.32</v>
      </c>
      <c r="BE140" s="17">
        <v>3.39</v>
      </c>
      <c r="BF140" s="17">
        <v>4.53</v>
      </c>
      <c r="BG140" s="17">
        <v>-36.5</v>
      </c>
      <c r="BH140" s="17">
        <v>302</v>
      </c>
      <c r="BI140" s="17">
        <v>462</v>
      </c>
      <c r="BJ140" s="17">
        <v>335</v>
      </c>
      <c r="BK140" s="17">
        <v>657</v>
      </c>
      <c r="BL140" s="17">
        <v>389</v>
      </c>
      <c r="BM140" s="17">
        <v>17.5</v>
      </c>
    </row>
    <row r="141" spans="1:65" x14ac:dyDescent="0.2">
      <c r="A141" t="s">
        <v>364</v>
      </c>
      <c r="B141">
        <v>22.8</v>
      </c>
      <c r="C141">
        <v>1.1200000000000001</v>
      </c>
      <c r="D141">
        <v>8.8999999999999996E-2</v>
      </c>
      <c r="E141">
        <v>39.200000000000003</v>
      </c>
      <c r="F141">
        <v>59.6</v>
      </c>
      <c r="G141">
        <v>65.3</v>
      </c>
      <c r="H141">
        <v>5.7000000000000002E-2</v>
      </c>
      <c r="I141">
        <v>6.62</v>
      </c>
      <c r="J141">
        <v>14.9</v>
      </c>
      <c r="K141">
        <v>45.7</v>
      </c>
      <c r="L141">
        <v>29.6</v>
      </c>
      <c r="M141">
        <v>9.58</v>
      </c>
      <c r="N141">
        <v>45.9</v>
      </c>
      <c r="O141">
        <v>29.9</v>
      </c>
      <c r="P141">
        <v>12.9</v>
      </c>
      <c r="Q141">
        <v>35.1</v>
      </c>
      <c r="R141">
        <v>45.1</v>
      </c>
      <c r="S141">
        <v>14.2</v>
      </c>
      <c r="T141">
        <v>33</v>
      </c>
      <c r="U141">
        <v>7.77</v>
      </c>
      <c r="V141">
        <v>46.9</v>
      </c>
      <c r="W141">
        <v>8.42</v>
      </c>
      <c r="X141">
        <v>42.6</v>
      </c>
      <c r="Y141">
        <v>2.64</v>
      </c>
      <c r="Z141">
        <v>48.8</v>
      </c>
      <c r="AA141">
        <v>5.94</v>
      </c>
      <c r="AB141">
        <v>15.4</v>
      </c>
      <c r="AC141">
        <v>4.62</v>
      </c>
      <c r="AD141">
        <v>37.6</v>
      </c>
      <c r="AE141">
        <v>12.1</v>
      </c>
      <c r="AF141">
        <v>45.5</v>
      </c>
      <c r="AG141">
        <v>7.66</v>
      </c>
      <c r="AH141">
        <v>6.05</v>
      </c>
      <c r="AI141">
        <v>53.4</v>
      </c>
      <c r="AJ141">
        <v>34.799999999999997</v>
      </c>
      <c r="AK141">
        <v>2.37</v>
      </c>
      <c r="AL141">
        <v>15.3</v>
      </c>
      <c r="AM141">
        <v>21.1</v>
      </c>
      <c r="AN141">
        <v>1.01</v>
      </c>
      <c r="AO141">
        <v>3.07</v>
      </c>
      <c r="AP141">
        <v>1.85</v>
      </c>
      <c r="AQ141">
        <v>4.63</v>
      </c>
      <c r="AR141">
        <v>59.4</v>
      </c>
      <c r="AS141">
        <v>36.1</v>
      </c>
      <c r="AT141">
        <v>4.3600000000000003</v>
      </c>
      <c r="AU141">
        <v>71.7</v>
      </c>
      <c r="AV141">
        <v>22.4</v>
      </c>
      <c r="AW141">
        <v>45.7</v>
      </c>
      <c r="AX141">
        <v>2.83</v>
      </c>
      <c r="AY141">
        <v>39.299999999999997</v>
      </c>
      <c r="AZ141">
        <v>0.22</v>
      </c>
      <c r="BA141">
        <v>5.2</v>
      </c>
      <c r="BB141">
        <v>51.5</v>
      </c>
      <c r="BC141">
        <v>37</v>
      </c>
      <c r="BD141">
        <v>0.31</v>
      </c>
      <c r="BE141">
        <v>1.91</v>
      </c>
      <c r="BF141">
        <v>7.4</v>
      </c>
      <c r="BG141">
        <v>-57.4</v>
      </c>
      <c r="BH141">
        <v>180</v>
      </c>
      <c r="BI141">
        <v>318</v>
      </c>
      <c r="BJ141">
        <v>332</v>
      </c>
      <c r="BK141">
        <v>810</v>
      </c>
      <c r="BL141">
        <v>274</v>
      </c>
      <c r="BM141">
        <v>-12.9</v>
      </c>
    </row>
    <row r="142" spans="1:65" x14ac:dyDescent="0.2">
      <c r="A142" t="s">
        <v>375</v>
      </c>
      <c r="B142">
        <v>11.1</v>
      </c>
      <c r="C142">
        <v>9.8699999999999992</v>
      </c>
      <c r="D142">
        <v>0.23</v>
      </c>
      <c r="E142">
        <v>38</v>
      </c>
      <c r="F142">
        <v>51.9</v>
      </c>
      <c r="G142">
        <v>66</v>
      </c>
      <c r="H142">
        <v>5.8000000000000003E-2</v>
      </c>
      <c r="I142">
        <v>5.66</v>
      </c>
      <c r="J142">
        <v>6.9</v>
      </c>
      <c r="K142">
        <v>55.2</v>
      </c>
      <c r="L142">
        <v>36.299999999999997</v>
      </c>
      <c r="M142">
        <v>6.79</v>
      </c>
      <c r="N142">
        <v>56.1</v>
      </c>
      <c r="O142">
        <v>19.7</v>
      </c>
      <c r="P142">
        <v>14.8</v>
      </c>
      <c r="Q142">
        <v>28.6</v>
      </c>
      <c r="R142">
        <v>39.4</v>
      </c>
      <c r="S142">
        <v>10.3</v>
      </c>
      <c r="T142">
        <v>39.9</v>
      </c>
      <c r="U142">
        <v>10.4</v>
      </c>
      <c r="V142">
        <v>58.1</v>
      </c>
      <c r="W142">
        <v>6.84</v>
      </c>
      <c r="X142">
        <v>47.9</v>
      </c>
      <c r="Y142">
        <v>2.02</v>
      </c>
      <c r="Z142">
        <v>42.8</v>
      </c>
      <c r="AA142">
        <v>7.32</v>
      </c>
      <c r="AB142">
        <v>17.7</v>
      </c>
      <c r="AC142">
        <v>3.75</v>
      </c>
      <c r="AD142">
        <v>6.53</v>
      </c>
      <c r="AE142">
        <v>28.5</v>
      </c>
      <c r="AF142">
        <v>61</v>
      </c>
      <c r="AG142">
        <v>19.7</v>
      </c>
      <c r="AH142">
        <v>3.54</v>
      </c>
      <c r="AI142">
        <v>22.8</v>
      </c>
      <c r="AJ142">
        <v>56.2</v>
      </c>
      <c r="AK142">
        <v>9.7200000000000006</v>
      </c>
      <c r="AL142">
        <v>3.66</v>
      </c>
      <c r="AM142">
        <v>27.2</v>
      </c>
      <c r="AN142">
        <v>0.61</v>
      </c>
      <c r="AO142">
        <v>2.0499999999999998</v>
      </c>
      <c r="AP142">
        <v>4.3899999999999997</v>
      </c>
      <c r="AQ142">
        <v>5.72</v>
      </c>
      <c r="AR142">
        <v>91.2</v>
      </c>
      <c r="AS142">
        <v>6.47</v>
      </c>
      <c r="AT142">
        <v>2.25</v>
      </c>
      <c r="AU142">
        <v>87.4</v>
      </c>
      <c r="AV142">
        <v>4.6900000000000004</v>
      </c>
      <c r="AW142">
        <v>62.8</v>
      </c>
      <c r="AX142">
        <v>1.9</v>
      </c>
      <c r="AY142">
        <v>31.4</v>
      </c>
      <c r="AZ142">
        <v>0.52</v>
      </c>
      <c r="BA142">
        <v>4.12</v>
      </c>
      <c r="BB142">
        <v>36</v>
      </c>
      <c r="BC142">
        <v>79.599999999999994</v>
      </c>
      <c r="BD142">
        <v>0.13</v>
      </c>
      <c r="BE142">
        <v>1.68</v>
      </c>
      <c r="BF142">
        <v>7.58</v>
      </c>
      <c r="BG142">
        <v>51.6</v>
      </c>
      <c r="BH142">
        <v>563</v>
      </c>
      <c r="BI142">
        <v>519</v>
      </c>
      <c r="BJ142">
        <v>420</v>
      </c>
      <c r="BK142">
        <v>526</v>
      </c>
      <c r="BL142">
        <v>179</v>
      </c>
      <c r="BM142">
        <v>26.8</v>
      </c>
    </row>
    <row r="143" spans="1:65" x14ac:dyDescent="0.2">
      <c r="A143" t="s">
        <v>379</v>
      </c>
      <c r="B143">
        <v>27.4</v>
      </c>
      <c r="C143">
        <v>3.29</v>
      </c>
      <c r="D143">
        <v>0.11</v>
      </c>
      <c r="E143">
        <v>26.8</v>
      </c>
      <c r="F143">
        <v>69.8</v>
      </c>
      <c r="G143">
        <v>63.9</v>
      </c>
      <c r="H143">
        <v>6.9000000000000006E-2</v>
      </c>
      <c r="I143">
        <v>10.3</v>
      </c>
      <c r="J143">
        <v>8.7100000000000009</v>
      </c>
      <c r="K143">
        <v>48.5</v>
      </c>
      <c r="L143">
        <v>28.5</v>
      </c>
      <c r="M143">
        <v>5.3</v>
      </c>
      <c r="N143">
        <v>49.7</v>
      </c>
      <c r="O143">
        <v>30.9</v>
      </c>
      <c r="P143">
        <v>13.3</v>
      </c>
      <c r="Q143">
        <v>37.299999999999997</v>
      </c>
      <c r="R143">
        <v>35.4</v>
      </c>
      <c r="S143">
        <v>16.100000000000001</v>
      </c>
      <c r="T143">
        <v>32.5</v>
      </c>
      <c r="U143">
        <v>16</v>
      </c>
      <c r="V143">
        <v>49.9</v>
      </c>
      <c r="W143">
        <v>6.68</v>
      </c>
      <c r="X143">
        <v>29.3</v>
      </c>
      <c r="Y143">
        <v>9</v>
      </c>
      <c r="Z143">
        <v>43.4</v>
      </c>
      <c r="AA143">
        <v>18.3</v>
      </c>
      <c r="AB143">
        <v>19</v>
      </c>
      <c r="AC143">
        <v>5.12</v>
      </c>
      <c r="AD143">
        <v>12.9</v>
      </c>
      <c r="AE143">
        <v>9.2799999999999994</v>
      </c>
      <c r="AF143">
        <v>72.7</v>
      </c>
      <c r="AG143">
        <v>5.77</v>
      </c>
      <c r="AH143">
        <v>7.25</v>
      </c>
      <c r="AI143">
        <v>36.700000000000003</v>
      </c>
      <c r="AJ143">
        <v>46.6</v>
      </c>
      <c r="AK143">
        <v>3.43</v>
      </c>
      <c r="AL143">
        <v>10.4</v>
      </c>
      <c r="AM143">
        <v>40.1</v>
      </c>
      <c r="AN143">
        <v>0.69</v>
      </c>
      <c r="AO143">
        <v>3.63</v>
      </c>
      <c r="AP143">
        <v>7.16</v>
      </c>
      <c r="AQ143">
        <v>3.69</v>
      </c>
      <c r="AR143">
        <v>77.8</v>
      </c>
      <c r="AS143">
        <v>17.8</v>
      </c>
      <c r="AT143">
        <v>4.2699999999999996</v>
      </c>
      <c r="AU143">
        <v>81.2</v>
      </c>
      <c r="AV143">
        <v>8.2799999999999994</v>
      </c>
      <c r="AW143">
        <v>43.2</v>
      </c>
      <c r="AX143">
        <v>2.52</v>
      </c>
      <c r="AY143">
        <v>51.3</v>
      </c>
      <c r="AZ143">
        <v>0.45</v>
      </c>
      <c r="BA143">
        <v>4.58</v>
      </c>
      <c r="BB143">
        <v>39.4</v>
      </c>
      <c r="BC143">
        <v>44.8</v>
      </c>
      <c r="BD143">
        <v>0.46</v>
      </c>
      <c r="BE143">
        <v>2.2000000000000002</v>
      </c>
      <c r="BF143">
        <v>13.6</v>
      </c>
      <c r="BG143">
        <v>-24.3</v>
      </c>
      <c r="BH143">
        <v>445</v>
      </c>
      <c r="BI143">
        <v>519</v>
      </c>
      <c r="BJ143">
        <v>392</v>
      </c>
      <c r="BK143">
        <v>823</v>
      </c>
      <c r="BL143">
        <v>279</v>
      </c>
      <c r="BM143">
        <v>-71.5</v>
      </c>
    </row>
    <row r="144" spans="1:65" x14ac:dyDescent="0.2">
      <c r="A144" s="4" t="s">
        <v>403</v>
      </c>
      <c r="B144" s="4">
        <v>27.9</v>
      </c>
      <c r="C144" s="4">
        <v>1.68</v>
      </c>
      <c r="D144" s="4">
        <v>0.72</v>
      </c>
      <c r="E144" s="4">
        <v>19.5</v>
      </c>
      <c r="F144" s="4">
        <v>78.2</v>
      </c>
      <c r="G144" s="4">
        <v>46.6</v>
      </c>
      <c r="H144" s="4">
        <v>1.7999999999999999E-2</v>
      </c>
      <c r="I144" s="4">
        <v>1.64</v>
      </c>
      <c r="J144" s="4">
        <v>2.59</v>
      </c>
      <c r="K144" s="4">
        <v>43.1</v>
      </c>
      <c r="L144" s="4">
        <v>32.9</v>
      </c>
      <c r="M144" s="4">
        <v>3.25</v>
      </c>
      <c r="N144" s="4">
        <v>67</v>
      </c>
      <c r="O144" s="4">
        <v>17.100000000000001</v>
      </c>
      <c r="P144" s="4">
        <v>11.6</v>
      </c>
      <c r="Q144" s="4">
        <v>24.4</v>
      </c>
      <c r="R144" s="4">
        <v>48</v>
      </c>
      <c r="S144" s="4">
        <v>15.3</v>
      </c>
      <c r="T144" s="4">
        <v>15.9</v>
      </c>
      <c r="U144" s="4">
        <v>20.8</v>
      </c>
      <c r="V144" s="4">
        <v>32.299999999999997</v>
      </c>
      <c r="W144" s="4">
        <v>3.9</v>
      </c>
      <c r="X144" s="4">
        <v>28.5</v>
      </c>
      <c r="Y144" s="4">
        <v>12.7</v>
      </c>
      <c r="Z144" s="4">
        <v>18.899999999999999</v>
      </c>
      <c r="AA144" s="4">
        <v>39.9</v>
      </c>
      <c r="AB144" s="4">
        <v>8.9700000000000006</v>
      </c>
      <c r="AC144" s="4">
        <v>2.82</v>
      </c>
      <c r="AD144" s="4">
        <v>11.4</v>
      </c>
      <c r="AE144" s="4">
        <v>65.599999999999994</v>
      </c>
      <c r="AF144" s="4">
        <v>18.600000000000001</v>
      </c>
      <c r="AG144" s="4">
        <v>7.27</v>
      </c>
      <c r="AH144" s="4">
        <v>7.4</v>
      </c>
      <c r="AI144" s="4">
        <v>26.4</v>
      </c>
      <c r="AJ144" s="4">
        <v>53.9</v>
      </c>
      <c r="AK144" s="4">
        <v>7.74</v>
      </c>
      <c r="AL144" s="4">
        <v>8.5</v>
      </c>
      <c r="AM144" s="4">
        <v>6.56</v>
      </c>
      <c r="AN144" s="4">
        <v>0.28999999999999998</v>
      </c>
      <c r="AO144" s="4">
        <v>0.19</v>
      </c>
      <c r="AP144" s="4">
        <v>1.33</v>
      </c>
      <c r="AQ144" s="4">
        <v>0.1</v>
      </c>
      <c r="AR144" s="4">
        <v>67.5</v>
      </c>
      <c r="AS144" s="4">
        <v>31.3</v>
      </c>
      <c r="AT144" s="4">
        <v>0.18</v>
      </c>
      <c r="AU144" s="4">
        <v>76.2</v>
      </c>
      <c r="AV144" s="4">
        <v>22.8</v>
      </c>
      <c r="AW144" s="4">
        <v>53.4</v>
      </c>
      <c r="AX144" s="4">
        <v>4.5</v>
      </c>
      <c r="AY144" s="4">
        <v>18.5</v>
      </c>
      <c r="AZ144" s="4">
        <v>1.55</v>
      </c>
      <c r="BA144" s="4">
        <v>11.4</v>
      </c>
      <c r="BB144" s="4">
        <v>52.1</v>
      </c>
      <c r="BC144" s="4">
        <v>88.4</v>
      </c>
      <c r="BD144" s="4">
        <v>1.81</v>
      </c>
      <c r="BE144" s="4">
        <v>4.8499999999999996</v>
      </c>
      <c r="BF144" s="4">
        <v>15</v>
      </c>
      <c r="BG144" s="4">
        <v>-29.7</v>
      </c>
      <c r="BH144" s="4">
        <v>145</v>
      </c>
      <c r="BI144" s="4">
        <v>231</v>
      </c>
      <c r="BJ144" s="4">
        <v>239</v>
      </c>
      <c r="BK144" s="4">
        <v>314</v>
      </c>
      <c r="BL144" s="4">
        <v>58.3</v>
      </c>
      <c r="BM144" s="4">
        <v>-23.9</v>
      </c>
    </row>
    <row r="145" spans="1:65" x14ac:dyDescent="0.2">
      <c r="A145" t="s">
        <v>371</v>
      </c>
      <c r="B145">
        <v>2.33</v>
      </c>
      <c r="C145">
        <v>9.68</v>
      </c>
      <c r="D145">
        <v>0.03</v>
      </c>
      <c r="E145">
        <v>49.2</v>
      </c>
      <c r="F145">
        <v>41.1</v>
      </c>
      <c r="G145">
        <v>87.3</v>
      </c>
      <c r="H145">
        <v>0.18</v>
      </c>
      <c r="I145">
        <v>6.09</v>
      </c>
      <c r="J145">
        <v>7.97</v>
      </c>
      <c r="K145">
        <v>73.8</v>
      </c>
      <c r="L145">
        <v>40.5</v>
      </c>
      <c r="M145">
        <v>5.94</v>
      </c>
      <c r="N145">
        <v>37.700000000000003</v>
      </c>
      <c r="O145">
        <v>29.9</v>
      </c>
      <c r="P145">
        <v>26.2</v>
      </c>
      <c r="Q145">
        <v>46.5</v>
      </c>
      <c r="R145">
        <v>33.700000000000003</v>
      </c>
      <c r="S145">
        <v>17.899999999999999</v>
      </c>
      <c r="T145">
        <v>34.700000000000003</v>
      </c>
      <c r="U145">
        <v>13.8</v>
      </c>
      <c r="V145">
        <v>37.5</v>
      </c>
      <c r="W145">
        <v>9.25</v>
      </c>
      <c r="X145">
        <v>48.7</v>
      </c>
      <c r="Y145">
        <v>3.22</v>
      </c>
      <c r="Z145">
        <v>37.6</v>
      </c>
      <c r="AA145">
        <v>10.5</v>
      </c>
      <c r="AB145">
        <v>32.299999999999997</v>
      </c>
      <c r="AC145">
        <v>2.89</v>
      </c>
      <c r="AD145">
        <v>12.9</v>
      </c>
      <c r="AE145">
        <v>56.4</v>
      </c>
      <c r="AF145">
        <v>27.9</v>
      </c>
      <c r="AG145">
        <v>6.34</v>
      </c>
      <c r="AH145">
        <v>3.18</v>
      </c>
      <c r="AI145">
        <v>24.9</v>
      </c>
      <c r="AJ145">
        <v>57.7</v>
      </c>
      <c r="AK145">
        <v>6.6</v>
      </c>
      <c r="AL145">
        <v>9.85</v>
      </c>
      <c r="AM145">
        <v>9.77</v>
      </c>
      <c r="AN145">
        <v>1.32</v>
      </c>
      <c r="AO145">
        <v>0.78</v>
      </c>
      <c r="AP145">
        <v>26.3</v>
      </c>
      <c r="AQ145">
        <v>3.3</v>
      </c>
      <c r="AR145">
        <v>84</v>
      </c>
      <c r="AS145">
        <v>14</v>
      </c>
      <c r="AT145">
        <v>1.92</v>
      </c>
      <c r="AU145">
        <v>58.2</v>
      </c>
      <c r="AV145">
        <v>13.8</v>
      </c>
      <c r="AW145">
        <v>70.400000000000006</v>
      </c>
      <c r="AX145">
        <v>2.2799999999999998</v>
      </c>
      <c r="AY145">
        <v>20</v>
      </c>
      <c r="AZ145">
        <v>1.02</v>
      </c>
      <c r="BA145">
        <v>5.26</v>
      </c>
      <c r="BB145">
        <v>48.2</v>
      </c>
      <c r="BC145">
        <v>80.3</v>
      </c>
      <c r="BD145">
        <v>0.14000000000000001</v>
      </c>
      <c r="BE145">
        <v>1.41</v>
      </c>
      <c r="BF145">
        <v>14.8</v>
      </c>
      <c r="BG145">
        <v>38</v>
      </c>
      <c r="BH145">
        <v>413</v>
      </c>
      <c r="BI145">
        <v>427</v>
      </c>
      <c r="BJ145">
        <v>311</v>
      </c>
      <c r="BK145">
        <v>429</v>
      </c>
      <c r="BL145">
        <v>84.1</v>
      </c>
      <c r="BM145">
        <v>-2.34</v>
      </c>
    </row>
    <row r="146" spans="1:65" x14ac:dyDescent="0.2">
      <c r="A146" s="4" t="s">
        <v>398</v>
      </c>
      <c r="B146" s="4">
        <v>8.17</v>
      </c>
      <c r="C146" s="4">
        <v>8.93</v>
      </c>
      <c r="D146" s="4">
        <v>0.31</v>
      </c>
      <c r="E146" s="4">
        <v>30.6</v>
      </c>
      <c r="F146" s="4">
        <v>60</v>
      </c>
      <c r="G146" s="4">
        <v>70.400000000000006</v>
      </c>
      <c r="H146" s="4">
        <v>0.13</v>
      </c>
      <c r="I146" s="4">
        <v>1.02</v>
      </c>
      <c r="J146" s="4">
        <v>2.5299999999999998</v>
      </c>
      <c r="K146" s="4">
        <v>67</v>
      </c>
      <c r="L146" s="4">
        <v>37.200000000000003</v>
      </c>
      <c r="M146" s="4">
        <v>2.48</v>
      </c>
      <c r="N146" s="4">
        <v>43.9</v>
      </c>
      <c r="O146" s="4">
        <v>24.1</v>
      </c>
      <c r="P146" s="4">
        <v>25.5</v>
      </c>
      <c r="Q146" s="4">
        <v>45.5</v>
      </c>
      <c r="R146" s="4">
        <v>31.6</v>
      </c>
      <c r="S146" s="4">
        <v>12.7</v>
      </c>
      <c r="T146" s="4">
        <v>48.7</v>
      </c>
      <c r="U146" s="4">
        <v>7.07</v>
      </c>
      <c r="V146" s="4">
        <v>43.2</v>
      </c>
      <c r="W146" s="4">
        <v>7.35</v>
      </c>
      <c r="X146" s="4">
        <v>36.9</v>
      </c>
      <c r="Y146" s="4">
        <v>6.94</v>
      </c>
      <c r="Z146" s="4">
        <v>39.6</v>
      </c>
      <c r="AA146" s="4">
        <v>16.5</v>
      </c>
      <c r="AB146" s="4">
        <v>27.7</v>
      </c>
      <c r="AC146" s="4">
        <v>3.18</v>
      </c>
      <c r="AD146" s="4">
        <v>15.9</v>
      </c>
      <c r="AE146" s="4">
        <v>68.8</v>
      </c>
      <c r="AF146" s="4">
        <v>10.6</v>
      </c>
      <c r="AG146" s="4">
        <v>19.399999999999999</v>
      </c>
      <c r="AH146" s="4">
        <v>11.1</v>
      </c>
      <c r="AI146" s="4">
        <v>33.9</v>
      </c>
      <c r="AJ146" s="4">
        <v>46.6</v>
      </c>
      <c r="AK146" s="4">
        <v>5.47</v>
      </c>
      <c r="AL146" s="4">
        <v>14.9</v>
      </c>
      <c r="AM146" s="4">
        <v>12.1</v>
      </c>
      <c r="AN146" s="4">
        <v>0.42</v>
      </c>
      <c r="AO146" s="4">
        <v>1.1000000000000001</v>
      </c>
      <c r="AP146" s="4">
        <v>2.25</v>
      </c>
      <c r="AQ146" s="4">
        <v>1.0900000000000001</v>
      </c>
      <c r="AR146" s="4">
        <v>68.099999999999994</v>
      </c>
      <c r="AS146" s="4">
        <v>30.4</v>
      </c>
      <c r="AT146" s="4">
        <v>1.46</v>
      </c>
      <c r="AU146" s="4">
        <v>76.099999999999994</v>
      </c>
      <c r="AV146" s="4">
        <v>22.5</v>
      </c>
      <c r="AW146" s="4">
        <v>66.900000000000006</v>
      </c>
      <c r="AX146" s="4">
        <v>4.0599999999999996</v>
      </c>
      <c r="AY146" s="4">
        <v>27.9</v>
      </c>
      <c r="AZ146" s="4">
        <v>3.08</v>
      </c>
      <c r="BA146" s="4">
        <v>13.8</v>
      </c>
      <c r="BB146" s="4">
        <v>76.5</v>
      </c>
      <c r="BC146" s="4">
        <v>88.7</v>
      </c>
      <c r="BD146" s="4">
        <v>3.16</v>
      </c>
      <c r="BE146" s="4">
        <v>4.6100000000000003</v>
      </c>
      <c r="BF146" s="4">
        <v>24.8</v>
      </c>
      <c r="BG146" s="4">
        <v>-67.3</v>
      </c>
      <c r="BH146" s="4">
        <v>243</v>
      </c>
      <c r="BI146" s="4">
        <v>212</v>
      </c>
      <c r="BJ146" s="4">
        <v>230</v>
      </c>
      <c r="BK146" s="4">
        <v>367</v>
      </c>
      <c r="BL146" s="4">
        <v>134</v>
      </c>
      <c r="BM146" s="4">
        <v>-11.2</v>
      </c>
    </row>
    <row r="147" spans="1:65" x14ac:dyDescent="0.2">
      <c r="A147" t="s">
        <v>389</v>
      </c>
      <c r="B147">
        <v>8.27</v>
      </c>
      <c r="C147">
        <v>6.41</v>
      </c>
      <c r="D147">
        <v>1.46</v>
      </c>
      <c r="E147">
        <v>55.7</v>
      </c>
      <c r="F147">
        <v>36.4</v>
      </c>
      <c r="G147">
        <v>75.400000000000006</v>
      </c>
      <c r="H147">
        <v>6.4000000000000001E-2</v>
      </c>
      <c r="I147">
        <v>3.71</v>
      </c>
      <c r="J147">
        <v>12.1</v>
      </c>
      <c r="K147">
        <v>60.4</v>
      </c>
      <c r="L147">
        <v>37.6</v>
      </c>
      <c r="M147">
        <v>6.01</v>
      </c>
      <c r="N147">
        <v>36.6</v>
      </c>
      <c r="O147">
        <v>41.4</v>
      </c>
      <c r="P147">
        <v>14</v>
      </c>
      <c r="Q147">
        <v>37.9</v>
      </c>
      <c r="R147">
        <v>40.700000000000003</v>
      </c>
      <c r="S147">
        <v>0.77</v>
      </c>
      <c r="T147">
        <v>57.6</v>
      </c>
      <c r="U147">
        <v>0.98</v>
      </c>
      <c r="V147">
        <v>37.6</v>
      </c>
      <c r="W147">
        <v>18.3</v>
      </c>
      <c r="X147">
        <v>52.6</v>
      </c>
      <c r="Y147">
        <v>0.52</v>
      </c>
      <c r="Z147">
        <v>46</v>
      </c>
      <c r="AA147">
        <v>0.91</v>
      </c>
      <c r="AB147">
        <v>21.1</v>
      </c>
      <c r="AC147">
        <v>7.08</v>
      </c>
      <c r="AD147">
        <v>13.5</v>
      </c>
      <c r="AE147">
        <v>14.3</v>
      </c>
      <c r="AF147">
        <v>65</v>
      </c>
      <c r="AG147">
        <v>17.3</v>
      </c>
      <c r="AH147">
        <v>10.3</v>
      </c>
      <c r="AI147">
        <v>18.3</v>
      </c>
      <c r="AJ147">
        <v>61.8</v>
      </c>
      <c r="AK147">
        <v>5.84</v>
      </c>
      <c r="AL147">
        <v>15.9</v>
      </c>
      <c r="AM147">
        <v>14.9</v>
      </c>
      <c r="AN147">
        <v>1.01</v>
      </c>
      <c r="AO147">
        <v>1.2</v>
      </c>
      <c r="AP147">
        <v>3.56</v>
      </c>
      <c r="AQ147">
        <v>10.7</v>
      </c>
      <c r="AR147">
        <v>88.1</v>
      </c>
      <c r="AS147">
        <v>10</v>
      </c>
      <c r="AT147">
        <v>1.66</v>
      </c>
      <c r="AU147">
        <v>82.9</v>
      </c>
      <c r="AV147">
        <v>3.41</v>
      </c>
      <c r="AW147">
        <v>57.4</v>
      </c>
      <c r="AX147">
        <v>7.77</v>
      </c>
      <c r="AY147">
        <v>31.2</v>
      </c>
      <c r="AZ147">
        <v>0.63</v>
      </c>
      <c r="BA147">
        <v>8.5</v>
      </c>
      <c r="BB147">
        <v>50.8</v>
      </c>
      <c r="BC147">
        <v>52.1</v>
      </c>
      <c r="BD147">
        <v>0.28999999999999998</v>
      </c>
      <c r="BE147">
        <v>1.31</v>
      </c>
      <c r="BF147">
        <v>3.94</v>
      </c>
      <c r="BG147">
        <v>33.9</v>
      </c>
      <c r="BH147">
        <v>353</v>
      </c>
      <c r="BI147">
        <v>396</v>
      </c>
      <c r="BJ147">
        <v>367</v>
      </c>
      <c r="BK147">
        <v>499</v>
      </c>
      <c r="BL147">
        <v>214</v>
      </c>
      <c r="BM147">
        <v>-1.08</v>
      </c>
    </row>
    <row r="148" spans="1:65" x14ac:dyDescent="0.2">
      <c r="A148" s="19" t="s">
        <v>404</v>
      </c>
      <c r="B148" s="20">
        <v>4.5199999999999996</v>
      </c>
      <c r="C148" s="20">
        <v>8.16</v>
      </c>
      <c r="D148">
        <v>0.14000000000000057</v>
      </c>
      <c r="E148" s="20">
        <v>55</v>
      </c>
      <c r="F148" s="20">
        <v>36.700000000000003</v>
      </c>
      <c r="G148" s="20">
        <v>85.1</v>
      </c>
      <c r="H148" s="20">
        <v>3.4000000000000002E-2</v>
      </c>
      <c r="I148" s="20">
        <v>2.31</v>
      </c>
      <c r="J148" s="20">
        <v>2.35</v>
      </c>
      <c r="K148" s="20">
        <v>80.3</v>
      </c>
      <c r="L148" s="20">
        <v>43</v>
      </c>
      <c r="M148" s="20">
        <v>4.17</v>
      </c>
      <c r="N148" s="20">
        <v>46.4</v>
      </c>
      <c r="O148" s="20">
        <v>33.200000000000003</v>
      </c>
      <c r="P148" s="20">
        <v>13.1</v>
      </c>
      <c r="Q148" s="20">
        <v>42.2</v>
      </c>
      <c r="R148" s="20">
        <v>20.7</v>
      </c>
      <c r="S148" s="20">
        <v>27.4</v>
      </c>
      <c r="T148" s="20">
        <v>34.9</v>
      </c>
      <c r="U148" s="20">
        <v>17</v>
      </c>
      <c r="V148" s="20">
        <v>46.4</v>
      </c>
      <c r="W148" s="20">
        <v>6.73</v>
      </c>
      <c r="X148" s="20">
        <v>18.399999999999999</v>
      </c>
      <c r="Y148" s="20">
        <v>15.9</v>
      </c>
      <c r="Z148" s="20">
        <v>44.5</v>
      </c>
      <c r="AA148" s="20">
        <v>21.2</v>
      </c>
      <c r="AB148" s="20">
        <v>36.1</v>
      </c>
      <c r="AC148" s="20">
        <v>10.3</v>
      </c>
      <c r="AD148" s="20">
        <v>24.3</v>
      </c>
      <c r="AE148" s="20">
        <v>27.6</v>
      </c>
      <c r="AF148" s="20">
        <v>37.799999999999997</v>
      </c>
      <c r="AG148" s="20">
        <v>8.8000000000000007</v>
      </c>
      <c r="AH148" s="20">
        <v>2.04</v>
      </c>
      <c r="AI148" s="20">
        <v>30</v>
      </c>
      <c r="AJ148" s="20">
        <v>65.8</v>
      </c>
      <c r="AK148" s="20">
        <v>1.86</v>
      </c>
      <c r="AL148" s="20">
        <v>17.100000000000001</v>
      </c>
      <c r="AM148" s="20">
        <v>28.5</v>
      </c>
      <c r="AN148" s="20">
        <v>1.94</v>
      </c>
      <c r="AO148" s="20">
        <v>2.2799999999999998</v>
      </c>
      <c r="AP148" s="20">
        <v>4.96</v>
      </c>
      <c r="AQ148" s="20">
        <v>24.1</v>
      </c>
      <c r="AR148" s="20">
        <v>55.7</v>
      </c>
      <c r="AS148" s="20">
        <v>41.2</v>
      </c>
      <c r="AT148" s="20">
        <v>2.96</v>
      </c>
      <c r="AU148" s="20">
        <v>46.6</v>
      </c>
      <c r="AV148" s="20">
        <v>27.1</v>
      </c>
      <c r="AW148" s="20">
        <v>33.200000000000003</v>
      </c>
      <c r="AX148"/>
      <c r="AY148" s="20">
        <v>46.9</v>
      </c>
      <c r="AZ148" s="20">
        <v>1.28</v>
      </c>
      <c r="BA148" s="20">
        <v>8.2200000000000006</v>
      </c>
      <c r="BB148" s="20">
        <v>21.2</v>
      </c>
      <c r="BC148" s="20">
        <v>65.900000000000006</v>
      </c>
      <c r="BD148" s="20">
        <v>0.25</v>
      </c>
      <c r="BE148" s="20">
        <v>4.46</v>
      </c>
      <c r="BF148" s="20">
        <v>15.7</v>
      </c>
      <c r="BG148" s="20">
        <v>-53.2</v>
      </c>
      <c r="BH148" s="20">
        <v>423</v>
      </c>
      <c r="BI148" s="20">
        <v>618</v>
      </c>
      <c r="BJ148" s="20">
        <v>307</v>
      </c>
      <c r="BK148" s="20">
        <v>597</v>
      </c>
      <c r="BL148" s="20">
        <v>248</v>
      </c>
      <c r="BM148" s="20">
        <v>32.299999999999997</v>
      </c>
    </row>
    <row r="149" spans="1:65" x14ac:dyDescent="0.2">
      <c r="A149" s="19" t="s">
        <v>405</v>
      </c>
      <c r="B149" s="20">
        <v>11.9</v>
      </c>
      <c r="C149" s="20">
        <v>3.18</v>
      </c>
      <c r="D149">
        <v>1.9999999999996021E-2</v>
      </c>
      <c r="E149" s="20">
        <v>56.2</v>
      </c>
      <c r="F149" s="20">
        <v>40.6</v>
      </c>
      <c r="G149" s="20">
        <v>78.400000000000006</v>
      </c>
      <c r="H149" s="20">
        <v>3.5000000000000003E-2</v>
      </c>
      <c r="I149" s="20">
        <v>0.6</v>
      </c>
      <c r="J149" s="20">
        <v>4</v>
      </c>
      <c r="K149" s="20">
        <v>73.8</v>
      </c>
      <c r="L149" s="20">
        <v>37.299999999999997</v>
      </c>
      <c r="M149" s="20">
        <v>5.5</v>
      </c>
      <c r="N149" s="20">
        <v>60.3</v>
      </c>
      <c r="O149" s="20">
        <v>20.5</v>
      </c>
      <c r="P149" s="20">
        <v>10.5</v>
      </c>
      <c r="Q149" s="20">
        <v>28.1</v>
      </c>
      <c r="R149" s="20">
        <v>25.4</v>
      </c>
      <c r="S149" s="20">
        <v>12</v>
      </c>
      <c r="T149" s="20">
        <v>52.9</v>
      </c>
      <c r="U149" s="20">
        <v>9.7100000000000009</v>
      </c>
      <c r="V149" s="20">
        <v>60.3</v>
      </c>
      <c r="W149" s="20">
        <v>5.2</v>
      </c>
      <c r="X149" s="20">
        <v>27.5</v>
      </c>
      <c r="Y149" s="20">
        <v>8.36</v>
      </c>
      <c r="Z149" s="20">
        <v>46.4</v>
      </c>
      <c r="AA149" s="20">
        <v>17.8</v>
      </c>
      <c r="AB149" s="20">
        <v>35.200000000000003</v>
      </c>
      <c r="AC149" s="20">
        <v>5.51</v>
      </c>
      <c r="AD149" s="20">
        <v>38.4</v>
      </c>
      <c r="AE149" s="20">
        <v>25.9</v>
      </c>
      <c r="AF149" s="20">
        <v>30.2</v>
      </c>
      <c r="AG149" s="20">
        <v>4.4800000000000004</v>
      </c>
      <c r="AH149" s="20">
        <v>4.0599999999999996</v>
      </c>
      <c r="AI149" s="20">
        <v>14.1</v>
      </c>
      <c r="AJ149" s="20">
        <v>74.099999999999994</v>
      </c>
      <c r="AK149" s="20">
        <v>7.17</v>
      </c>
      <c r="AL149" s="20">
        <v>14.6</v>
      </c>
      <c r="AM149" s="20">
        <v>17</v>
      </c>
      <c r="AN149" s="20">
        <v>2.16</v>
      </c>
      <c r="AO149" s="20">
        <v>0.85</v>
      </c>
      <c r="AP149" s="20">
        <v>3.91</v>
      </c>
      <c r="AQ149" s="20">
        <v>5.77</v>
      </c>
      <c r="AR149" s="20">
        <v>35.6</v>
      </c>
      <c r="AS149" s="20">
        <v>63.2</v>
      </c>
      <c r="AT149" s="20">
        <v>1.26</v>
      </c>
      <c r="AU149" s="20">
        <v>63.1</v>
      </c>
      <c r="AV149" s="20">
        <v>30.9</v>
      </c>
      <c r="AW149" s="20">
        <v>43.6</v>
      </c>
      <c r="AX149"/>
      <c r="AY149" s="20">
        <v>31.8</v>
      </c>
      <c r="AZ149" s="20">
        <v>0.84</v>
      </c>
      <c r="BA149" s="20">
        <v>7.95</v>
      </c>
      <c r="BB149" s="20">
        <v>29</v>
      </c>
      <c r="BC149" s="20">
        <v>48.4</v>
      </c>
      <c r="BD149" s="20">
        <v>0.11</v>
      </c>
      <c r="BE149" s="20">
        <v>2.8</v>
      </c>
      <c r="BF149" s="20">
        <v>9.5500000000000007</v>
      </c>
      <c r="BG149" s="20">
        <v>-13.1</v>
      </c>
      <c r="BH149" s="20">
        <v>602</v>
      </c>
      <c r="BI149" s="20">
        <v>744</v>
      </c>
      <c r="BJ149" s="20">
        <v>632</v>
      </c>
      <c r="BK149" s="20">
        <v>761</v>
      </c>
      <c r="BL149" s="20">
        <v>512</v>
      </c>
      <c r="BM149" s="20">
        <v>63.6</v>
      </c>
    </row>
    <row r="150" spans="1:65" x14ac:dyDescent="0.2">
      <c r="A150" s="19" t="s">
        <v>406</v>
      </c>
      <c r="B150" s="20">
        <v>17.7</v>
      </c>
      <c r="C150" s="20">
        <v>1.35</v>
      </c>
      <c r="D150">
        <v>0.01</v>
      </c>
      <c r="E150" s="20">
        <v>39.799999999999997</v>
      </c>
      <c r="F150" s="20">
        <v>58.9</v>
      </c>
      <c r="G150" s="20">
        <v>71.7</v>
      </c>
      <c r="H150" s="20">
        <v>1.9E-2</v>
      </c>
      <c r="I150" s="20">
        <v>2.19</v>
      </c>
      <c r="J150" s="20">
        <v>11.2</v>
      </c>
      <c r="K150" s="20">
        <v>58</v>
      </c>
      <c r="L150" s="20">
        <v>27.2</v>
      </c>
      <c r="M150" s="20">
        <v>7.92</v>
      </c>
      <c r="N150" s="20">
        <v>52.1</v>
      </c>
      <c r="O150" s="20">
        <v>20.9</v>
      </c>
      <c r="P150" s="20">
        <v>13.8</v>
      </c>
      <c r="Q150" s="20">
        <v>30.3</v>
      </c>
      <c r="R150" s="20">
        <v>59.8</v>
      </c>
      <c r="S150" s="20">
        <v>5.51</v>
      </c>
      <c r="T150" s="20">
        <v>25.7</v>
      </c>
      <c r="U150" s="20">
        <v>8.9499999999999993</v>
      </c>
      <c r="V150" s="20">
        <v>52.1</v>
      </c>
      <c r="W150" s="20">
        <v>7.26</v>
      </c>
      <c r="X150" s="20">
        <v>41</v>
      </c>
      <c r="Y150" s="20">
        <v>2.06</v>
      </c>
      <c r="Z150" s="20">
        <v>51.2</v>
      </c>
      <c r="AA150" s="20">
        <v>5.74</v>
      </c>
      <c r="AB150" s="20">
        <v>30.2</v>
      </c>
      <c r="AC150" s="20">
        <v>1.86</v>
      </c>
      <c r="AD150" s="20">
        <v>7.31</v>
      </c>
      <c r="AE150" s="20">
        <v>53</v>
      </c>
      <c r="AF150" s="20">
        <v>37.799999999999997</v>
      </c>
      <c r="AG150" s="20">
        <v>9.26</v>
      </c>
      <c r="AH150" s="20">
        <v>3.87</v>
      </c>
      <c r="AI150" s="20">
        <v>24.4</v>
      </c>
      <c r="AJ150" s="20">
        <v>58.9</v>
      </c>
      <c r="AK150" s="20">
        <v>11.8</v>
      </c>
      <c r="AL150" s="20">
        <v>19.2</v>
      </c>
      <c r="AM150" s="20">
        <v>28.6</v>
      </c>
      <c r="AN150" s="20">
        <v>1.32</v>
      </c>
      <c r="AO150" s="20">
        <v>1.73</v>
      </c>
      <c r="AP150" s="20">
        <v>3.66</v>
      </c>
      <c r="AQ150" s="20">
        <v>3.12</v>
      </c>
      <c r="AR150" s="20">
        <v>51.7</v>
      </c>
      <c r="AS150" s="20">
        <v>46.5</v>
      </c>
      <c r="AT150" s="20">
        <v>1.75</v>
      </c>
      <c r="AU150" s="20">
        <v>66.5</v>
      </c>
      <c r="AV150" s="20">
        <v>30.1</v>
      </c>
      <c r="AW150" s="20">
        <v>42.8</v>
      </c>
      <c r="AX150"/>
      <c r="AY150" s="20">
        <v>47.4</v>
      </c>
      <c r="AZ150" s="20">
        <v>1.1100000000000001</v>
      </c>
      <c r="BA150" s="20">
        <v>7.42</v>
      </c>
      <c r="BB150" s="20">
        <v>57.3</v>
      </c>
      <c r="BC150" s="20">
        <v>84.5</v>
      </c>
      <c r="BD150" s="20">
        <v>0.16</v>
      </c>
      <c r="BE150" s="20">
        <v>1.82</v>
      </c>
      <c r="BF150" s="20">
        <v>32.700000000000003</v>
      </c>
      <c r="BG150" s="20">
        <v>-19.5</v>
      </c>
      <c r="BH150" s="20">
        <v>440</v>
      </c>
      <c r="BI150" s="20">
        <v>630</v>
      </c>
      <c r="BJ150" s="20">
        <v>735</v>
      </c>
      <c r="BK150" s="20">
        <v>507</v>
      </c>
      <c r="BL150" s="20">
        <v>212</v>
      </c>
      <c r="BM150" s="20">
        <v>101</v>
      </c>
    </row>
    <row r="151" spans="1:65" x14ac:dyDescent="0.2">
      <c r="A151" s="19" t="s">
        <v>407</v>
      </c>
      <c r="B151" s="20">
        <v>11.8</v>
      </c>
      <c r="C151" s="20">
        <v>6.27</v>
      </c>
      <c r="D151">
        <v>3.0000000000001137E-2</v>
      </c>
      <c r="E151" s="20">
        <v>49.1</v>
      </c>
      <c r="F151" s="20">
        <v>44.6</v>
      </c>
      <c r="G151" s="20">
        <v>77.2</v>
      </c>
      <c r="H151" s="20">
        <v>1.2999999999999999E-2</v>
      </c>
      <c r="I151" s="20">
        <v>3.33</v>
      </c>
      <c r="J151" s="20">
        <v>2.0299999999999998</v>
      </c>
      <c r="K151" s="20">
        <v>71.599999999999994</v>
      </c>
      <c r="L151" s="20">
        <v>39.299999999999997</v>
      </c>
      <c r="M151" s="20">
        <v>4</v>
      </c>
      <c r="N151" s="20">
        <v>15</v>
      </c>
      <c r="O151" s="20">
        <v>53.8</v>
      </c>
      <c r="P151" s="20">
        <v>23.6</v>
      </c>
      <c r="Q151" s="20">
        <v>75.599999999999994</v>
      </c>
      <c r="R151" s="20">
        <v>67.900000000000006</v>
      </c>
      <c r="S151" s="20">
        <v>3.51</v>
      </c>
      <c r="T151" s="20">
        <v>11</v>
      </c>
      <c r="U151" s="20">
        <v>17.600000000000001</v>
      </c>
      <c r="V151" s="20">
        <v>15</v>
      </c>
      <c r="W151" s="20">
        <v>5.04</v>
      </c>
      <c r="X151" s="20">
        <v>51.9</v>
      </c>
      <c r="Y151" s="20">
        <v>2.46</v>
      </c>
      <c r="Z151" s="20">
        <v>37.200000000000003</v>
      </c>
      <c r="AA151" s="20">
        <v>8.4600000000000009</v>
      </c>
      <c r="AB151" s="20">
        <v>29.8</v>
      </c>
      <c r="AC151" s="20">
        <v>15.4</v>
      </c>
      <c r="AD151" s="20">
        <v>18.899999999999999</v>
      </c>
      <c r="AE151" s="20">
        <v>46.5</v>
      </c>
      <c r="AF151" s="20">
        <v>19.2</v>
      </c>
      <c r="AG151" s="20">
        <v>8.84</v>
      </c>
      <c r="AH151" s="20">
        <v>4.4000000000000004</v>
      </c>
      <c r="AI151" s="20">
        <v>41.3</v>
      </c>
      <c r="AJ151" s="20">
        <v>49.4</v>
      </c>
      <c r="AK151" s="20">
        <v>4.8</v>
      </c>
      <c r="AL151" s="20">
        <v>9.11</v>
      </c>
      <c r="AM151" s="20">
        <v>11.8</v>
      </c>
      <c r="AN151" s="20">
        <v>1.95</v>
      </c>
      <c r="AO151" s="20">
        <v>2.3199999999999998</v>
      </c>
      <c r="AP151" s="20">
        <v>2.93</v>
      </c>
      <c r="AQ151" s="20">
        <v>5.65</v>
      </c>
      <c r="AR151" s="20">
        <v>66.8</v>
      </c>
      <c r="AS151" s="20">
        <v>30</v>
      </c>
      <c r="AT151" s="20">
        <v>2.97</v>
      </c>
      <c r="AU151" s="20">
        <v>73.2</v>
      </c>
      <c r="AV151" s="20">
        <v>19.5</v>
      </c>
      <c r="AW151" s="20">
        <v>53.4</v>
      </c>
      <c r="AX151"/>
      <c r="AY151" s="20">
        <v>23.7</v>
      </c>
      <c r="AZ151" s="20">
        <v>3.29</v>
      </c>
      <c r="BA151" s="20">
        <v>5.23</v>
      </c>
      <c r="BB151" s="20">
        <v>46</v>
      </c>
      <c r="BC151" s="20">
        <v>90</v>
      </c>
      <c r="BD151" s="20">
        <v>0.15</v>
      </c>
      <c r="BE151" s="20">
        <v>1.72</v>
      </c>
      <c r="BF151" s="20">
        <v>6.96</v>
      </c>
      <c r="BG151" s="20">
        <v>24.5</v>
      </c>
      <c r="BH151" s="20">
        <v>373</v>
      </c>
      <c r="BI151" s="20">
        <v>333</v>
      </c>
      <c r="BJ151" s="20">
        <v>390</v>
      </c>
      <c r="BK151" s="20">
        <v>521</v>
      </c>
      <c r="BL151" s="20">
        <v>231</v>
      </c>
      <c r="BM151" s="20">
        <v>120</v>
      </c>
    </row>
    <row r="152" spans="1:65" x14ac:dyDescent="0.2">
      <c r="A152" s="19" t="s">
        <v>408</v>
      </c>
      <c r="B152" s="20">
        <v>6.07</v>
      </c>
      <c r="C152" s="20">
        <v>9.4499999999999993</v>
      </c>
      <c r="D152">
        <v>0.04</v>
      </c>
      <c r="E152" s="20">
        <v>34.6</v>
      </c>
      <c r="F152" s="20">
        <v>56</v>
      </c>
      <c r="G152" s="20">
        <v>83.9</v>
      </c>
      <c r="H152" s="20">
        <v>2.4E-2</v>
      </c>
      <c r="I152" s="20">
        <v>1.18</v>
      </c>
      <c r="J152" s="20">
        <v>0.73</v>
      </c>
      <c r="K152" s="20">
        <v>81.8</v>
      </c>
      <c r="L152" s="20">
        <v>72.5</v>
      </c>
      <c r="M152" s="20">
        <v>5.52</v>
      </c>
      <c r="N152" s="20">
        <v>58.9</v>
      </c>
      <c r="O152" s="20">
        <v>28.5</v>
      </c>
      <c r="P152" s="20">
        <v>4.8099999999999996</v>
      </c>
      <c r="Q152" s="20">
        <v>31.3</v>
      </c>
      <c r="R152" s="20">
        <v>62.5</v>
      </c>
      <c r="S152" s="20">
        <v>6.37</v>
      </c>
      <c r="T152" s="20">
        <v>25.1</v>
      </c>
      <c r="U152" s="20">
        <v>6.01</v>
      </c>
      <c r="V152" s="20">
        <v>58.9</v>
      </c>
      <c r="W152" s="20">
        <v>2.95</v>
      </c>
      <c r="X152" s="20">
        <v>55</v>
      </c>
      <c r="Y152" s="20">
        <v>2.2000000000000002</v>
      </c>
      <c r="Z152" s="20">
        <v>32</v>
      </c>
      <c r="AA152" s="20">
        <v>10.8</v>
      </c>
      <c r="AB152" s="20">
        <v>8.7200000000000006</v>
      </c>
      <c r="AC152" s="20">
        <v>20</v>
      </c>
      <c r="AD152" s="20">
        <v>12</v>
      </c>
      <c r="AE152" s="20">
        <v>28.7</v>
      </c>
      <c r="AF152" s="20">
        <v>39.299999999999997</v>
      </c>
      <c r="AG152" s="20">
        <v>8.19</v>
      </c>
      <c r="AH152" s="20">
        <v>1.78</v>
      </c>
      <c r="AI152" s="20">
        <v>15.1</v>
      </c>
      <c r="AJ152" s="20">
        <v>77.2</v>
      </c>
      <c r="AK152" s="20">
        <v>5.81</v>
      </c>
      <c r="AL152" s="20">
        <v>16.899999999999999</v>
      </c>
      <c r="AM152" s="20">
        <v>26.6</v>
      </c>
      <c r="AN152" s="20">
        <v>1.1100000000000001</v>
      </c>
      <c r="AO152" s="20">
        <v>0.49</v>
      </c>
      <c r="AP152" s="20">
        <v>2.9</v>
      </c>
      <c r="AQ152" s="20">
        <v>3.57</v>
      </c>
      <c r="AR152" s="20">
        <v>83.2</v>
      </c>
      <c r="AS152" s="20">
        <v>16.100000000000001</v>
      </c>
      <c r="AT152" s="20">
        <v>0.62</v>
      </c>
      <c r="AU152" s="20">
        <v>85.3</v>
      </c>
      <c r="AV152" s="20">
        <v>11.4</v>
      </c>
      <c r="AW152" s="20">
        <v>46.7</v>
      </c>
      <c r="AX152"/>
      <c r="AY152" s="20">
        <v>42.6</v>
      </c>
      <c r="AZ152" s="20">
        <v>1.77</v>
      </c>
      <c r="BA152" s="20">
        <v>8.9499999999999993</v>
      </c>
      <c r="BB152" s="20">
        <v>60.9</v>
      </c>
      <c r="BC152" s="20">
        <v>91.8</v>
      </c>
      <c r="BD152" s="20">
        <v>0.39</v>
      </c>
      <c r="BE152" s="20">
        <v>4.3499999999999996</v>
      </c>
      <c r="BF152" s="20">
        <v>23.9</v>
      </c>
      <c r="BG152" s="20">
        <v>-20</v>
      </c>
      <c r="BH152" s="20">
        <v>290</v>
      </c>
      <c r="BI152" s="20">
        <v>277</v>
      </c>
      <c r="BJ152" s="20">
        <v>344</v>
      </c>
      <c r="BK152" s="20">
        <v>750</v>
      </c>
      <c r="BL152" s="20">
        <v>196</v>
      </c>
      <c r="BM152" s="20">
        <v>57.3</v>
      </c>
    </row>
    <row r="153" spans="1:65" x14ac:dyDescent="0.2">
      <c r="A153" s="19" t="s">
        <v>409</v>
      </c>
      <c r="B153" s="20">
        <v>10.4</v>
      </c>
      <c r="C153" s="20">
        <v>5.85</v>
      </c>
      <c r="D153">
        <v>4.9999999999997158E-2</v>
      </c>
      <c r="E153" s="20">
        <v>41</v>
      </c>
      <c r="F153" s="20">
        <v>53.1</v>
      </c>
      <c r="G153" s="20">
        <v>74.5</v>
      </c>
      <c r="H153" s="20">
        <v>0.12</v>
      </c>
      <c r="I153" s="20">
        <v>5.96</v>
      </c>
      <c r="J153" s="20">
        <v>8.2799999999999994</v>
      </c>
      <c r="K153" s="20">
        <v>59.9</v>
      </c>
      <c r="L153" s="20">
        <v>42</v>
      </c>
      <c r="M153" s="20">
        <v>6.3</v>
      </c>
      <c r="N153" s="20">
        <v>55.1</v>
      </c>
      <c r="O153" s="20">
        <v>23.2</v>
      </c>
      <c r="P153" s="20">
        <v>9.5299999999999994</v>
      </c>
      <c r="Q153" s="20">
        <v>32.4</v>
      </c>
      <c r="R153" s="20">
        <v>58.1</v>
      </c>
      <c r="S153" s="20">
        <v>8.41</v>
      </c>
      <c r="T153" s="20">
        <v>12</v>
      </c>
      <c r="U153" s="20">
        <v>21.5</v>
      </c>
      <c r="V153" s="20">
        <v>55.1</v>
      </c>
      <c r="W153" s="20">
        <v>4.99</v>
      </c>
      <c r="X153" s="20">
        <v>53.7</v>
      </c>
      <c r="Y153" s="20">
        <v>3.04</v>
      </c>
      <c r="Z153" s="20">
        <v>30.6</v>
      </c>
      <c r="AA153" s="20">
        <v>12.7</v>
      </c>
      <c r="AB153" s="20">
        <v>16.600000000000001</v>
      </c>
      <c r="AC153" s="20">
        <v>3.01</v>
      </c>
      <c r="AD153" s="20">
        <v>10.7</v>
      </c>
      <c r="AE153" s="20">
        <v>14</v>
      </c>
      <c r="AF153" s="20">
        <v>72.3</v>
      </c>
      <c r="AG153" s="20">
        <v>12.6</v>
      </c>
      <c r="AH153" s="20">
        <v>2.5</v>
      </c>
      <c r="AI153" s="20">
        <v>32.1</v>
      </c>
      <c r="AJ153" s="20">
        <v>48.1</v>
      </c>
      <c r="AK153" s="20">
        <v>17.3</v>
      </c>
      <c r="AL153" s="20">
        <v>14.6</v>
      </c>
      <c r="AM153" s="20">
        <v>27.4</v>
      </c>
      <c r="AN153" s="20">
        <v>1.23</v>
      </c>
      <c r="AO153" s="20">
        <v>2.0499999999999998</v>
      </c>
      <c r="AP153" s="20">
        <v>2.15</v>
      </c>
      <c r="AQ153" s="20">
        <v>4.7</v>
      </c>
      <c r="AR153" s="20">
        <v>70.3</v>
      </c>
      <c r="AS153" s="20">
        <v>27.1</v>
      </c>
      <c r="AT153" s="20">
        <v>2.5299999999999998</v>
      </c>
      <c r="AU153" s="20">
        <v>70</v>
      </c>
      <c r="AV153" s="20">
        <v>25.3</v>
      </c>
      <c r="AW153" s="20">
        <v>47.6</v>
      </c>
      <c r="AX153"/>
      <c r="AY153" s="20">
        <v>41.6</v>
      </c>
      <c r="AZ153" s="20">
        <v>0.82</v>
      </c>
      <c r="BA153" s="20">
        <v>9.19</v>
      </c>
      <c r="BB153" s="20">
        <v>64.900000000000006</v>
      </c>
      <c r="BC153" s="20">
        <v>55.6</v>
      </c>
      <c r="BD153" s="20">
        <v>0.39</v>
      </c>
      <c r="BE153" s="20">
        <v>3.92</v>
      </c>
      <c r="BF153" s="20">
        <v>6.3</v>
      </c>
      <c r="BG153" s="20">
        <v>-1.2E-2</v>
      </c>
      <c r="BH153" s="20">
        <v>272</v>
      </c>
      <c r="BI153" s="20">
        <v>381</v>
      </c>
      <c r="BJ153" s="20">
        <v>412</v>
      </c>
      <c r="BK153" s="20">
        <v>809</v>
      </c>
      <c r="BL153" s="20">
        <v>360</v>
      </c>
      <c r="BM153" s="20">
        <v>32.299999999999997</v>
      </c>
    </row>
    <row r="157" spans="1:65" x14ac:dyDescent="0.2">
      <c r="A157" s="5"/>
      <c r="B157"/>
      <c r="C157" s="5"/>
      <c r="BM157"/>
    </row>
    <row r="158" spans="1:65" x14ac:dyDescent="0.2">
      <c r="A158" s="5"/>
      <c r="B158"/>
      <c r="C158" s="5"/>
      <c r="BM158"/>
    </row>
    <row r="159" spans="1:65" x14ac:dyDescent="0.2">
      <c r="A159" s="5"/>
      <c r="B159"/>
      <c r="C159" s="5"/>
      <c r="BM159"/>
    </row>
    <row r="160" spans="1:65" x14ac:dyDescent="0.2">
      <c r="A160" s="5"/>
      <c r="B160"/>
      <c r="C160" s="5"/>
      <c r="BM160"/>
    </row>
    <row r="161" spans="1:65" x14ac:dyDescent="0.2">
      <c r="A161" s="5"/>
      <c r="B161"/>
      <c r="C161" s="5"/>
      <c r="BM161"/>
    </row>
  </sheetData>
  <conditionalFormatting sqref="A1:A53 B30:S30 A55">
    <cfRule type="containsText" dxfId="0" priority="1" operator="containsText" text="Unchecked">
      <formula>NOT(ISERROR(SEARCH("Unchecked",A1)))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7D8-1B2B-1744-BEBA-194A83ED9036}">
  <dimension ref="A1:F126"/>
  <sheetViews>
    <sheetView topLeftCell="A49" workbookViewId="0">
      <selection activeCell="J59" sqref="J59"/>
    </sheetView>
  </sheetViews>
  <sheetFormatPr baseColWidth="10" defaultRowHeight="16" x14ac:dyDescent="0.2"/>
  <cols>
    <col min="1" max="1" width="22.6640625" customWidth="1"/>
  </cols>
  <sheetData>
    <row r="1" spans="1:6" x14ac:dyDescent="0.2">
      <c r="A1" s="4" t="s">
        <v>511</v>
      </c>
      <c r="B1" s="4" t="s">
        <v>510</v>
      </c>
      <c r="C1" s="4" t="s">
        <v>509</v>
      </c>
      <c r="D1" s="4" t="s">
        <v>508</v>
      </c>
      <c r="E1" s="4" t="s">
        <v>507</v>
      </c>
      <c r="F1" s="4" t="s">
        <v>506</v>
      </c>
    </row>
    <row r="2" spans="1:6" x14ac:dyDescent="0.2">
      <c r="A2" s="28" t="s">
        <v>505</v>
      </c>
      <c r="B2" s="4">
        <v>16</v>
      </c>
      <c r="C2" s="4">
        <v>4.93</v>
      </c>
      <c r="D2" s="4">
        <v>38.9</v>
      </c>
      <c r="E2" s="4">
        <v>90</v>
      </c>
      <c r="F2" s="4">
        <v>0.23</v>
      </c>
    </row>
    <row r="3" spans="1:6" x14ac:dyDescent="0.2">
      <c r="A3" s="28" t="s">
        <v>504</v>
      </c>
      <c r="B3" s="4">
        <v>10.8</v>
      </c>
      <c r="C3" s="4">
        <v>4.4000000000000004</v>
      </c>
      <c r="D3" s="4">
        <v>39.799999999999997</v>
      </c>
      <c r="E3" s="4">
        <v>70.900000000000006</v>
      </c>
      <c r="F3" s="4">
        <v>43.3</v>
      </c>
    </row>
    <row r="4" spans="1:6" x14ac:dyDescent="0.2">
      <c r="A4" s="28" t="s">
        <v>410</v>
      </c>
      <c r="B4" s="4">
        <v>7.92</v>
      </c>
      <c r="C4" s="4">
        <v>5.86</v>
      </c>
      <c r="D4" s="4">
        <v>37.700000000000003</v>
      </c>
      <c r="E4" s="4">
        <v>52.7</v>
      </c>
      <c r="F4" s="4">
        <v>2.41</v>
      </c>
    </row>
    <row r="5" spans="1:6" x14ac:dyDescent="0.2">
      <c r="A5" s="28" t="s">
        <v>503</v>
      </c>
      <c r="B5" s="4">
        <v>11.7</v>
      </c>
      <c r="C5" s="4">
        <v>10.9</v>
      </c>
      <c r="D5" s="4">
        <v>73.3</v>
      </c>
      <c r="E5" s="4">
        <v>64.900000000000006</v>
      </c>
      <c r="F5" s="4">
        <v>0.8</v>
      </c>
    </row>
    <row r="6" spans="1:6" x14ac:dyDescent="0.2">
      <c r="A6" s="28" t="s">
        <v>411</v>
      </c>
      <c r="B6" s="4">
        <v>4.7300000000000004</v>
      </c>
      <c r="C6" s="4">
        <v>4.12</v>
      </c>
      <c r="D6" s="4">
        <v>55.9</v>
      </c>
      <c r="E6" s="4">
        <v>50.5</v>
      </c>
      <c r="F6" s="4">
        <v>0.68</v>
      </c>
    </row>
    <row r="7" spans="1:6" x14ac:dyDescent="0.2">
      <c r="A7" s="28" t="s">
        <v>502</v>
      </c>
      <c r="B7" s="4">
        <v>7.61</v>
      </c>
      <c r="C7" s="4">
        <v>3.43</v>
      </c>
      <c r="D7" s="4">
        <v>70.5</v>
      </c>
      <c r="E7" s="4">
        <v>83.8</v>
      </c>
      <c r="F7" s="4">
        <v>0.26</v>
      </c>
    </row>
    <row r="8" spans="1:6" x14ac:dyDescent="0.2">
      <c r="A8" s="28" t="s">
        <v>501</v>
      </c>
      <c r="B8" s="4">
        <v>8.19</v>
      </c>
      <c r="C8" s="4">
        <v>11.9</v>
      </c>
      <c r="D8" s="4">
        <v>84.3</v>
      </c>
      <c r="E8" s="4">
        <v>50.8</v>
      </c>
      <c r="F8" s="4">
        <v>4.4400000000000004</v>
      </c>
    </row>
    <row r="9" spans="1:6" x14ac:dyDescent="0.2">
      <c r="A9" s="28" t="s">
        <v>500</v>
      </c>
      <c r="B9" s="4">
        <v>12.8</v>
      </c>
      <c r="C9" s="4">
        <v>10.1</v>
      </c>
      <c r="D9" s="4">
        <v>74.8</v>
      </c>
      <c r="E9" s="4">
        <v>77.900000000000006</v>
      </c>
      <c r="F9" s="4">
        <v>9.15</v>
      </c>
    </row>
    <row r="10" spans="1:6" x14ac:dyDescent="0.2">
      <c r="A10" s="28" t="s">
        <v>499</v>
      </c>
      <c r="B10" s="4">
        <v>10.4</v>
      </c>
      <c r="C10" s="4">
        <v>9.25</v>
      </c>
      <c r="D10" s="4">
        <v>69</v>
      </c>
      <c r="E10" s="4">
        <v>63.4</v>
      </c>
      <c r="F10" s="4">
        <v>0.59</v>
      </c>
    </row>
    <row r="11" spans="1:6" x14ac:dyDescent="0.2">
      <c r="A11" s="28" t="s">
        <v>498</v>
      </c>
      <c r="B11" s="4">
        <v>8.02</v>
      </c>
      <c r="C11" s="4">
        <v>4.92</v>
      </c>
      <c r="D11" s="4">
        <v>64</v>
      </c>
      <c r="E11" s="4">
        <v>67.8</v>
      </c>
      <c r="F11" s="4">
        <v>0.69</v>
      </c>
    </row>
    <row r="12" spans="1:6" x14ac:dyDescent="0.2">
      <c r="A12" s="28" t="s">
        <v>497</v>
      </c>
      <c r="B12" s="4">
        <v>17.399999999999999</v>
      </c>
      <c r="C12" s="4">
        <v>12.5</v>
      </c>
      <c r="D12" s="4">
        <v>80</v>
      </c>
      <c r="E12" s="4">
        <v>75.3</v>
      </c>
      <c r="F12" s="4">
        <v>4.72</v>
      </c>
    </row>
    <row r="13" spans="1:6" x14ac:dyDescent="0.2">
      <c r="A13" s="28" t="s">
        <v>496</v>
      </c>
      <c r="B13" s="4">
        <v>8.59</v>
      </c>
      <c r="C13" s="4">
        <v>8.48</v>
      </c>
      <c r="D13" s="4">
        <v>64.900000000000006</v>
      </c>
      <c r="E13" s="4">
        <v>48.7</v>
      </c>
      <c r="F13" s="4">
        <v>2.58</v>
      </c>
    </row>
    <row r="14" spans="1:6" x14ac:dyDescent="0.2">
      <c r="A14" s="28" t="s">
        <v>495</v>
      </c>
      <c r="B14" s="4">
        <v>3.71</v>
      </c>
      <c r="C14" s="4">
        <v>7.97</v>
      </c>
      <c r="D14" s="4">
        <v>63.1</v>
      </c>
      <c r="E14" s="4">
        <v>22.5</v>
      </c>
      <c r="F14" s="4">
        <v>1.57</v>
      </c>
    </row>
    <row r="15" spans="1:6" x14ac:dyDescent="0.2">
      <c r="A15" s="28" t="s">
        <v>494</v>
      </c>
      <c r="B15" s="4">
        <v>5.3</v>
      </c>
      <c r="C15" s="4">
        <v>8.65</v>
      </c>
      <c r="D15" s="4">
        <v>64.400000000000006</v>
      </c>
      <c r="E15" s="4">
        <v>30.7</v>
      </c>
      <c r="F15" s="4">
        <v>0.47</v>
      </c>
    </row>
    <row r="16" spans="1:6" x14ac:dyDescent="0.2">
      <c r="A16" s="28" t="s">
        <v>493</v>
      </c>
      <c r="B16" s="4">
        <v>2.93</v>
      </c>
      <c r="C16" s="4">
        <v>3.63</v>
      </c>
      <c r="D16" s="4">
        <v>91.9</v>
      </c>
      <c r="E16" s="4">
        <v>44</v>
      </c>
      <c r="F16" s="4">
        <v>0.6</v>
      </c>
    </row>
    <row r="17" spans="1:6" x14ac:dyDescent="0.2">
      <c r="A17" s="28" t="s">
        <v>412</v>
      </c>
      <c r="B17" s="4">
        <v>6.7</v>
      </c>
      <c r="C17" s="4">
        <v>7.71</v>
      </c>
      <c r="D17" s="4">
        <v>68.599999999999994</v>
      </c>
      <c r="E17" s="4">
        <v>49.6</v>
      </c>
      <c r="F17" s="4">
        <v>4.8499999999999996</v>
      </c>
    </row>
    <row r="18" spans="1:6" x14ac:dyDescent="0.2">
      <c r="A18" s="28" t="s">
        <v>492</v>
      </c>
      <c r="B18" s="4">
        <v>11.7</v>
      </c>
      <c r="C18" s="4">
        <v>15.6</v>
      </c>
      <c r="D18" s="4">
        <v>72.599999999999994</v>
      </c>
      <c r="E18" s="4">
        <v>67.599999999999994</v>
      </c>
      <c r="F18" s="4">
        <v>1.32</v>
      </c>
    </row>
    <row r="19" spans="1:6" x14ac:dyDescent="0.2">
      <c r="A19" s="28" t="s">
        <v>491</v>
      </c>
      <c r="B19" s="4">
        <v>11.4</v>
      </c>
      <c r="C19" s="4">
        <v>8.26</v>
      </c>
      <c r="D19" s="4">
        <v>64.2</v>
      </c>
      <c r="E19" s="4">
        <v>65</v>
      </c>
      <c r="F19" s="4">
        <v>6.45</v>
      </c>
    </row>
    <row r="20" spans="1:6" x14ac:dyDescent="0.2">
      <c r="A20" s="28" t="s">
        <v>490</v>
      </c>
      <c r="B20" s="4">
        <v>2.2400000000000002</v>
      </c>
      <c r="C20" s="4">
        <v>8.99</v>
      </c>
      <c r="D20" s="4">
        <v>70.8</v>
      </c>
      <c r="E20" s="4">
        <v>12.9</v>
      </c>
      <c r="F20" s="4">
        <v>2.8000000000000001E-2</v>
      </c>
    </row>
    <row r="21" spans="1:6" x14ac:dyDescent="0.2">
      <c r="A21" s="28" t="s">
        <v>489</v>
      </c>
      <c r="B21" s="4">
        <v>8.85</v>
      </c>
      <c r="C21" s="4">
        <v>14.5</v>
      </c>
      <c r="D21" s="4">
        <v>79.2</v>
      </c>
      <c r="E21" s="4">
        <v>40.299999999999997</v>
      </c>
      <c r="F21" s="4">
        <v>3.31</v>
      </c>
    </row>
    <row r="22" spans="1:6" x14ac:dyDescent="0.2">
      <c r="A22" s="28" t="s">
        <v>488</v>
      </c>
      <c r="B22" s="4">
        <v>13.1</v>
      </c>
      <c r="C22" s="4">
        <v>5.97</v>
      </c>
      <c r="D22" s="4">
        <v>67.3</v>
      </c>
      <c r="E22" s="4">
        <v>84.9</v>
      </c>
      <c r="F22" s="4">
        <v>1.76</v>
      </c>
    </row>
    <row r="23" spans="1:6" x14ac:dyDescent="0.2">
      <c r="A23" s="28" t="s">
        <v>487</v>
      </c>
      <c r="B23" s="4">
        <v>8.93</v>
      </c>
      <c r="C23" s="4">
        <v>6.7</v>
      </c>
      <c r="D23" s="4">
        <v>70.3</v>
      </c>
      <c r="E23" s="4">
        <v>67.8</v>
      </c>
      <c r="F23" s="4">
        <v>0.66</v>
      </c>
    </row>
    <row r="24" spans="1:6" x14ac:dyDescent="0.2">
      <c r="A24" s="28" t="s">
        <v>486</v>
      </c>
      <c r="B24" s="4">
        <v>1.88</v>
      </c>
      <c r="C24" s="4">
        <v>4.88</v>
      </c>
      <c r="D24" s="4">
        <v>80.900000000000006</v>
      </c>
      <c r="E24" s="4">
        <v>25.2</v>
      </c>
      <c r="F24" s="4">
        <v>8.59</v>
      </c>
    </row>
    <row r="25" spans="1:6" x14ac:dyDescent="0.2">
      <c r="A25" s="28" t="s">
        <v>485</v>
      </c>
      <c r="B25" s="4">
        <v>4.5</v>
      </c>
      <c r="C25" s="4">
        <v>4.8</v>
      </c>
      <c r="D25" s="4">
        <v>62.4</v>
      </c>
      <c r="E25" s="4">
        <v>39.4</v>
      </c>
      <c r="F25" s="4">
        <v>30.1</v>
      </c>
    </row>
    <row r="26" spans="1:6" x14ac:dyDescent="0.2">
      <c r="A26" s="28" t="s">
        <v>484</v>
      </c>
      <c r="B26" s="4">
        <v>8.16</v>
      </c>
      <c r="C26" s="4">
        <v>11.1</v>
      </c>
      <c r="D26" s="4">
        <v>59</v>
      </c>
      <c r="E26" s="4">
        <v>37.700000000000003</v>
      </c>
      <c r="F26" s="4">
        <v>6.42</v>
      </c>
    </row>
    <row r="27" spans="1:6" x14ac:dyDescent="0.2">
      <c r="A27" s="28" t="s">
        <v>483</v>
      </c>
      <c r="B27" s="4">
        <v>1.88</v>
      </c>
      <c r="C27" s="4">
        <v>7.07</v>
      </c>
      <c r="D27" s="4">
        <v>69.8</v>
      </c>
      <c r="E27" s="4">
        <v>17</v>
      </c>
      <c r="F27" s="4">
        <v>0.15</v>
      </c>
    </row>
    <row r="28" spans="1:6" x14ac:dyDescent="0.2">
      <c r="A28" s="28" t="s">
        <v>482</v>
      </c>
      <c r="B28" s="4">
        <v>5.83</v>
      </c>
      <c r="C28" s="4">
        <v>8.5299999999999994</v>
      </c>
      <c r="D28" s="4">
        <v>75.900000000000006</v>
      </c>
      <c r="E28" s="4">
        <v>41.2</v>
      </c>
      <c r="F28" s="4">
        <v>0.39</v>
      </c>
    </row>
    <row r="29" spans="1:6" x14ac:dyDescent="0.2">
      <c r="A29" s="28" t="s">
        <v>481</v>
      </c>
      <c r="B29" s="4">
        <v>6.11</v>
      </c>
      <c r="C29" s="4">
        <v>5.69</v>
      </c>
      <c r="D29" s="4">
        <v>79.5</v>
      </c>
      <c r="E29" s="4">
        <v>63.1</v>
      </c>
      <c r="F29" s="4">
        <v>40.200000000000003</v>
      </c>
    </row>
    <row r="30" spans="1:6" x14ac:dyDescent="0.2">
      <c r="A30" s="28" t="s">
        <v>480</v>
      </c>
      <c r="B30" s="4">
        <v>9.2799999999999994</v>
      </c>
      <c r="C30" s="4">
        <v>7.76</v>
      </c>
      <c r="D30" s="4">
        <v>75.7</v>
      </c>
      <c r="E30" s="4">
        <v>59.6</v>
      </c>
      <c r="F30" s="4">
        <v>25</v>
      </c>
    </row>
    <row r="31" spans="1:6" x14ac:dyDescent="0.2">
      <c r="A31" s="28" t="s">
        <v>479</v>
      </c>
      <c r="B31" s="4">
        <v>6.52</v>
      </c>
      <c r="C31" s="4">
        <v>14.8</v>
      </c>
      <c r="D31" s="4">
        <v>73.400000000000006</v>
      </c>
      <c r="E31" s="4">
        <v>32.700000000000003</v>
      </c>
      <c r="F31" s="4">
        <v>7.5999999999999998E-2</v>
      </c>
    </row>
    <row r="32" spans="1:6" x14ac:dyDescent="0.2">
      <c r="A32" s="28" t="s">
        <v>478</v>
      </c>
      <c r="B32" s="4">
        <v>8.3000000000000007</v>
      </c>
      <c r="C32" s="4">
        <v>8.7100000000000009</v>
      </c>
      <c r="D32" s="4">
        <v>60.7</v>
      </c>
      <c r="E32" s="4">
        <v>45.2</v>
      </c>
      <c r="F32" s="4">
        <v>3.91</v>
      </c>
    </row>
    <row r="33" spans="1:6" x14ac:dyDescent="0.2">
      <c r="A33" s="28" t="s">
        <v>477</v>
      </c>
      <c r="B33" s="4">
        <v>7.82</v>
      </c>
      <c r="C33" s="4">
        <v>9.75</v>
      </c>
      <c r="D33" s="4">
        <v>84.2</v>
      </c>
      <c r="E33" s="4">
        <v>53.6</v>
      </c>
      <c r="F33" s="4">
        <v>8.58</v>
      </c>
    </row>
    <row r="34" spans="1:6" x14ac:dyDescent="0.2">
      <c r="A34" s="28" t="s">
        <v>476</v>
      </c>
      <c r="B34" s="4">
        <v>6.24</v>
      </c>
      <c r="C34" s="4">
        <v>6.23</v>
      </c>
      <c r="D34" s="4">
        <v>52.9</v>
      </c>
      <c r="E34" s="4">
        <v>30.5</v>
      </c>
      <c r="F34" s="4">
        <v>1.31</v>
      </c>
    </row>
    <row r="35" spans="1:6" x14ac:dyDescent="0.2">
      <c r="A35" s="28" t="s">
        <v>475</v>
      </c>
      <c r="B35" s="4">
        <v>4.05</v>
      </c>
      <c r="C35" s="4">
        <v>8.34</v>
      </c>
      <c r="D35" s="4">
        <v>66.7</v>
      </c>
      <c r="E35" s="4">
        <v>33.1</v>
      </c>
      <c r="F35" s="4">
        <v>0.61</v>
      </c>
    </row>
    <row r="36" spans="1:6" x14ac:dyDescent="0.2">
      <c r="A36" s="28" t="s">
        <v>413</v>
      </c>
      <c r="B36" s="4">
        <v>5.04</v>
      </c>
      <c r="C36" s="4">
        <v>13.3</v>
      </c>
      <c r="D36" s="4">
        <v>69.7</v>
      </c>
      <c r="E36" s="4">
        <v>23.5</v>
      </c>
      <c r="F36" s="4">
        <v>1.35</v>
      </c>
    </row>
    <row r="37" spans="1:6" x14ac:dyDescent="0.2">
      <c r="A37" s="28" t="s">
        <v>474</v>
      </c>
      <c r="B37" s="4">
        <v>7.73</v>
      </c>
      <c r="C37" s="4">
        <v>6.59</v>
      </c>
      <c r="D37" s="4">
        <v>71.5</v>
      </c>
      <c r="E37" s="4">
        <v>54.2</v>
      </c>
      <c r="F37" s="4">
        <v>1.32</v>
      </c>
    </row>
    <row r="38" spans="1:6" x14ac:dyDescent="0.2">
      <c r="A38" s="28" t="s">
        <v>473</v>
      </c>
      <c r="B38" s="4">
        <v>17.600000000000001</v>
      </c>
      <c r="C38" s="4">
        <v>10.3</v>
      </c>
      <c r="D38" s="4">
        <v>52.2</v>
      </c>
      <c r="E38" s="4">
        <v>79.900000000000006</v>
      </c>
      <c r="F38" s="4">
        <v>0.23</v>
      </c>
    </row>
    <row r="39" spans="1:6" x14ac:dyDescent="0.2">
      <c r="A39" s="28" t="s">
        <v>472</v>
      </c>
      <c r="B39" s="4">
        <v>20.5</v>
      </c>
      <c r="C39" s="4">
        <v>27</v>
      </c>
      <c r="D39" s="4">
        <v>66.900000000000006</v>
      </c>
      <c r="E39" s="4">
        <v>41.9</v>
      </c>
      <c r="F39" s="4">
        <v>0.16</v>
      </c>
    </row>
    <row r="40" spans="1:6" x14ac:dyDescent="0.2">
      <c r="A40" s="28" t="s">
        <v>471</v>
      </c>
      <c r="B40" s="4">
        <v>7.52</v>
      </c>
      <c r="C40" s="4">
        <v>12</v>
      </c>
      <c r="D40" s="4">
        <v>80.2</v>
      </c>
      <c r="E40" s="4">
        <v>47.4</v>
      </c>
      <c r="F40" s="4">
        <v>0.65</v>
      </c>
    </row>
    <row r="41" spans="1:6" x14ac:dyDescent="0.2">
      <c r="A41" s="28" t="s">
        <v>470</v>
      </c>
      <c r="B41" s="4">
        <v>3.75</v>
      </c>
      <c r="C41" s="4">
        <v>7.11</v>
      </c>
      <c r="D41" s="4">
        <v>77.900000000000006</v>
      </c>
      <c r="E41" s="4">
        <v>33.6</v>
      </c>
      <c r="F41" s="4">
        <v>0.38</v>
      </c>
    </row>
    <row r="42" spans="1:6" x14ac:dyDescent="0.2">
      <c r="A42" s="28" t="s">
        <v>469</v>
      </c>
      <c r="B42" s="4">
        <v>4.67</v>
      </c>
      <c r="C42" s="4">
        <v>7.79</v>
      </c>
      <c r="D42" s="4">
        <v>70.3</v>
      </c>
      <c r="E42" s="4">
        <v>38.799999999999997</v>
      </c>
      <c r="F42" s="4">
        <v>3.78</v>
      </c>
    </row>
    <row r="43" spans="1:6" x14ac:dyDescent="0.2">
      <c r="A43" s="28" t="s">
        <v>468</v>
      </c>
      <c r="B43" s="4">
        <v>9.4600000000000009</v>
      </c>
      <c r="C43" s="4">
        <v>10.9</v>
      </c>
      <c r="D43" s="4">
        <v>80.7</v>
      </c>
      <c r="E43" s="4">
        <v>67.7</v>
      </c>
      <c r="F43" s="4">
        <v>2.92</v>
      </c>
    </row>
    <row r="44" spans="1:6" x14ac:dyDescent="0.2">
      <c r="A44" s="28" t="s">
        <v>467</v>
      </c>
      <c r="B44" s="4">
        <v>2.93</v>
      </c>
      <c r="C44" s="4">
        <v>6.93</v>
      </c>
      <c r="D44" s="4">
        <v>77.599999999999994</v>
      </c>
      <c r="E44" s="4">
        <v>23.9</v>
      </c>
      <c r="F44" s="4">
        <v>4.17</v>
      </c>
    </row>
    <row r="45" spans="1:6" x14ac:dyDescent="0.2">
      <c r="A45" s="28" t="s">
        <v>466</v>
      </c>
      <c r="B45" s="4">
        <v>15.9</v>
      </c>
      <c r="C45" s="4">
        <v>14.9</v>
      </c>
      <c r="D45" s="4">
        <v>64.5</v>
      </c>
      <c r="E45" s="4">
        <v>48.4</v>
      </c>
      <c r="F45" s="4">
        <v>3.04</v>
      </c>
    </row>
    <row r="46" spans="1:6" x14ac:dyDescent="0.2">
      <c r="A46" s="28" t="s">
        <v>414</v>
      </c>
      <c r="B46" s="4">
        <v>9.2100000000000009</v>
      </c>
      <c r="C46" s="4">
        <v>6.06</v>
      </c>
      <c r="D46" s="4">
        <v>57.3</v>
      </c>
      <c r="E46" s="4">
        <v>67.2</v>
      </c>
      <c r="F46" s="4">
        <v>35.4</v>
      </c>
    </row>
    <row r="47" spans="1:6" x14ac:dyDescent="0.2">
      <c r="A47" s="28" t="s">
        <v>415</v>
      </c>
      <c r="B47" s="4">
        <v>2.27</v>
      </c>
      <c r="C47" s="4">
        <v>7.81</v>
      </c>
      <c r="D47" s="4">
        <v>73.3</v>
      </c>
      <c r="E47" s="4">
        <v>18.5</v>
      </c>
      <c r="F47" s="4">
        <v>8.8999999999999996E-2</v>
      </c>
    </row>
    <row r="48" spans="1:6" x14ac:dyDescent="0.2">
      <c r="A48" s="28" t="s">
        <v>465</v>
      </c>
      <c r="B48" s="4">
        <v>14</v>
      </c>
      <c r="C48" s="4">
        <v>20.8</v>
      </c>
      <c r="D48" s="4">
        <v>69.3</v>
      </c>
      <c r="E48" s="4">
        <v>37.700000000000003</v>
      </c>
      <c r="F48" s="4">
        <v>10.7</v>
      </c>
    </row>
    <row r="49" spans="1:6" x14ac:dyDescent="0.2">
      <c r="A49" s="28" t="s">
        <v>464</v>
      </c>
      <c r="B49" s="4">
        <v>3.43</v>
      </c>
      <c r="C49" s="4">
        <v>4.1399999999999997</v>
      </c>
      <c r="D49" s="4">
        <v>47.4</v>
      </c>
      <c r="E49" s="4">
        <v>24.6</v>
      </c>
      <c r="F49" s="4">
        <v>9.99</v>
      </c>
    </row>
    <row r="50" spans="1:6" x14ac:dyDescent="0.2">
      <c r="A50" s="28" t="s">
        <v>463</v>
      </c>
      <c r="B50" s="4">
        <v>7.43</v>
      </c>
      <c r="C50" s="4">
        <v>4.68</v>
      </c>
      <c r="D50" s="4">
        <v>75</v>
      </c>
      <c r="E50" s="4">
        <v>77.7</v>
      </c>
      <c r="F50" s="4">
        <v>7.98</v>
      </c>
    </row>
    <row r="51" spans="1:6" x14ac:dyDescent="0.2">
      <c r="A51" s="28" t="s">
        <v>462</v>
      </c>
      <c r="B51" s="4">
        <v>15.4</v>
      </c>
      <c r="C51" s="4">
        <v>6.61</v>
      </c>
      <c r="D51" s="4">
        <v>50.4</v>
      </c>
      <c r="E51" s="4">
        <v>71.099999999999994</v>
      </c>
      <c r="F51" s="4">
        <v>17.5</v>
      </c>
    </row>
    <row r="52" spans="1:6" x14ac:dyDescent="0.2">
      <c r="A52" s="28" t="s">
        <v>461</v>
      </c>
      <c r="B52" s="4">
        <v>15.6</v>
      </c>
      <c r="C52" s="4">
        <v>8.92</v>
      </c>
      <c r="D52" s="4">
        <v>51.2</v>
      </c>
      <c r="E52" s="4">
        <v>74</v>
      </c>
      <c r="F52" s="4">
        <v>2.14</v>
      </c>
    </row>
    <row r="53" spans="1:6" x14ac:dyDescent="0.2">
      <c r="A53" s="28" t="s">
        <v>460</v>
      </c>
      <c r="B53" s="4">
        <v>5.29</v>
      </c>
      <c r="C53" s="4">
        <v>10.8</v>
      </c>
      <c r="D53" s="4">
        <v>80.099999999999994</v>
      </c>
      <c r="E53" s="4">
        <v>31.3</v>
      </c>
      <c r="F53" s="4">
        <v>5.15</v>
      </c>
    </row>
    <row r="54" spans="1:6" x14ac:dyDescent="0.2">
      <c r="A54" s="28" t="s">
        <v>459</v>
      </c>
      <c r="B54" s="4">
        <v>7.01</v>
      </c>
      <c r="C54" s="4">
        <v>4.67</v>
      </c>
      <c r="D54" s="4">
        <v>62.7</v>
      </c>
      <c r="E54" s="4">
        <v>56.5</v>
      </c>
      <c r="F54" s="4">
        <v>8.3800000000000008</v>
      </c>
    </row>
    <row r="55" spans="1:6" x14ac:dyDescent="0.2">
      <c r="A55" s="28" t="s">
        <v>437</v>
      </c>
      <c r="B55" s="4">
        <v>4.2300000000000004</v>
      </c>
      <c r="C55" s="4">
        <v>4.1500000000000004</v>
      </c>
      <c r="D55" s="4">
        <v>55.2</v>
      </c>
      <c r="E55" s="4">
        <v>27.7</v>
      </c>
      <c r="F55" s="4">
        <v>0.78</v>
      </c>
    </row>
    <row r="56" spans="1:6" x14ac:dyDescent="0.2">
      <c r="A56" s="28" t="s">
        <v>458</v>
      </c>
      <c r="B56" s="4">
        <v>7.69</v>
      </c>
      <c r="C56" s="4">
        <v>8.17</v>
      </c>
      <c r="D56" s="4">
        <v>60.9</v>
      </c>
      <c r="E56" s="4">
        <v>53.2</v>
      </c>
      <c r="F56" s="4">
        <v>2.31</v>
      </c>
    </row>
    <row r="57" spans="1:6" x14ac:dyDescent="0.2">
      <c r="A57" t="s">
        <v>457</v>
      </c>
      <c r="B57">
        <v>25.1</v>
      </c>
      <c r="C57">
        <v>14.4</v>
      </c>
      <c r="D57">
        <v>13.2</v>
      </c>
      <c r="E57">
        <v>11.8</v>
      </c>
      <c r="F57">
        <v>2.1</v>
      </c>
    </row>
    <row r="58" spans="1:6" x14ac:dyDescent="0.2">
      <c r="A58" t="s">
        <v>456</v>
      </c>
      <c r="B58">
        <v>11.3</v>
      </c>
      <c r="C58">
        <v>8.02</v>
      </c>
      <c r="D58">
        <v>7.74</v>
      </c>
      <c r="E58">
        <v>5.53</v>
      </c>
      <c r="F58">
        <v>10.9</v>
      </c>
    </row>
    <row r="59" spans="1:6" x14ac:dyDescent="0.2">
      <c r="A59" t="s">
        <v>455</v>
      </c>
      <c r="B59">
        <v>16.100000000000001</v>
      </c>
      <c r="C59">
        <v>3.76</v>
      </c>
      <c r="D59">
        <v>5.42</v>
      </c>
      <c r="E59">
        <v>2.4500000000000002</v>
      </c>
      <c r="F59">
        <v>1.67</v>
      </c>
    </row>
    <row r="60" spans="1:6" x14ac:dyDescent="0.2">
      <c r="A60" t="s">
        <v>454</v>
      </c>
      <c r="B60">
        <v>18.3</v>
      </c>
      <c r="C60">
        <v>6.57</v>
      </c>
      <c r="D60">
        <v>8.48</v>
      </c>
      <c r="E60">
        <v>5.29</v>
      </c>
      <c r="F60">
        <v>30.9</v>
      </c>
    </row>
    <row r="61" spans="1:6" x14ac:dyDescent="0.2">
      <c r="A61" t="s">
        <v>453</v>
      </c>
      <c r="B61">
        <v>13.9</v>
      </c>
      <c r="C61">
        <v>5.42</v>
      </c>
      <c r="D61">
        <v>6.87</v>
      </c>
      <c r="E61">
        <v>4.21</v>
      </c>
      <c r="F61">
        <v>1.28</v>
      </c>
    </row>
    <row r="62" spans="1:6" x14ac:dyDescent="0.2">
      <c r="A62" t="s">
        <v>452</v>
      </c>
      <c r="B62">
        <v>19.899999999999999</v>
      </c>
      <c r="C62">
        <v>6.5</v>
      </c>
      <c r="D62">
        <v>1.8</v>
      </c>
      <c r="E62">
        <v>4.75</v>
      </c>
      <c r="F62">
        <v>2.2000000000000002</v>
      </c>
    </row>
    <row r="63" spans="1:6" x14ac:dyDescent="0.2">
      <c r="A63" t="s">
        <v>451</v>
      </c>
      <c r="B63">
        <v>25.6</v>
      </c>
      <c r="C63">
        <v>13.7</v>
      </c>
      <c r="D63">
        <v>14.6</v>
      </c>
      <c r="E63">
        <v>11.2</v>
      </c>
      <c r="F63">
        <v>7.55</v>
      </c>
    </row>
    <row r="64" spans="1:6" x14ac:dyDescent="0.2">
      <c r="A64" t="s">
        <v>450</v>
      </c>
      <c r="B64">
        <v>7.93</v>
      </c>
      <c r="C64">
        <v>42.4</v>
      </c>
      <c r="D64">
        <v>4.4000000000000004</v>
      </c>
      <c r="E64">
        <v>6.15</v>
      </c>
      <c r="F64">
        <v>10.5</v>
      </c>
    </row>
    <row r="65" spans="1:6" x14ac:dyDescent="0.2">
      <c r="A65" t="s">
        <v>449</v>
      </c>
      <c r="B65">
        <v>9.74</v>
      </c>
      <c r="C65">
        <v>5.99</v>
      </c>
      <c r="D65">
        <v>4.9000000000000004</v>
      </c>
      <c r="E65">
        <v>4.9800000000000004</v>
      </c>
      <c r="F65">
        <v>0.35</v>
      </c>
    </row>
    <row r="66" spans="1:6" x14ac:dyDescent="0.2">
      <c r="A66" t="s">
        <v>448</v>
      </c>
      <c r="B66">
        <v>1.54</v>
      </c>
      <c r="C66">
        <v>4.7300000000000004</v>
      </c>
      <c r="D66">
        <v>0.99</v>
      </c>
      <c r="E66">
        <v>1</v>
      </c>
      <c r="F66">
        <v>65.400000000000006</v>
      </c>
    </row>
    <row r="67" spans="1:6" x14ac:dyDescent="0.2">
      <c r="A67" t="s">
        <v>447</v>
      </c>
      <c r="B67">
        <v>3.73</v>
      </c>
      <c r="C67">
        <v>8.15</v>
      </c>
      <c r="D67">
        <v>2.6</v>
      </c>
      <c r="E67">
        <v>2.41</v>
      </c>
      <c r="F67">
        <v>1.29</v>
      </c>
    </row>
    <row r="68" spans="1:6" x14ac:dyDescent="0.2">
      <c r="A68" t="s">
        <v>446</v>
      </c>
      <c r="B68">
        <v>11.1</v>
      </c>
      <c r="C68">
        <v>4.0999999999999996</v>
      </c>
      <c r="D68">
        <v>3.68</v>
      </c>
      <c r="E68">
        <v>3.66</v>
      </c>
      <c r="F68">
        <v>5.71</v>
      </c>
    </row>
    <row r="69" spans="1:6" x14ac:dyDescent="0.2">
      <c r="A69" t="s">
        <v>445</v>
      </c>
      <c r="B69">
        <v>12.8</v>
      </c>
      <c r="C69">
        <v>6.38</v>
      </c>
      <c r="D69">
        <v>5.16</v>
      </c>
      <c r="E69">
        <v>5.76</v>
      </c>
      <c r="F69">
        <v>5.86</v>
      </c>
    </row>
    <row r="70" spans="1:6" x14ac:dyDescent="0.2">
      <c r="A70" t="s">
        <v>444</v>
      </c>
      <c r="B70">
        <v>11.6</v>
      </c>
      <c r="C70">
        <v>4.51</v>
      </c>
      <c r="D70">
        <v>4.0999999999999996</v>
      </c>
      <c r="E70">
        <v>3.88</v>
      </c>
      <c r="F70">
        <v>6.73</v>
      </c>
    </row>
    <row r="71" spans="1:6" x14ac:dyDescent="0.2">
      <c r="A71" t="s">
        <v>443</v>
      </c>
      <c r="B71">
        <v>18.7</v>
      </c>
      <c r="C71">
        <v>7.61</v>
      </c>
      <c r="D71">
        <v>9.9700000000000006</v>
      </c>
      <c r="E71">
        <v>5.66</v>
      </c>
      <c r="F71">
        <v>5.89</v>
      </c>
    </row>
    <row r="72" spans="1:6" x14ac:dyDescent="0.2">
      <c r="A72" t="s">
        <v>442</v>
      </c>
      <c r="B72">
        <v>8.32</v>
      </c>
      <c r="C72">
        <v>6.2</v>
      </c>
      <c r="D72">
        <v>4.99</v>
      </c>
      <c r="E72">
        <v>4.0199999999999996</v>
      </c>
      <c r="F72">
        <v>1.07</v>
      </c>
    </row>
    <row r="73" spans="1:6" x14ac:dyDescent="0.2">
      <c r="A73" t="s">
        <v>441</v>
      </c>
      <c r="B73">
        <v>8.39</v>
      </c>
      <c r="C73">
        <v>4.88</v>
      </c>
      <c r="D73">
        <v>5.27</v>
      </c>
      <c r="E73">
        <v>2.56</v>
      </c>
      <c r="F73">
        <v>7.24</v>
      </c>
    </row>
    <row r="74" spans="1:6" x14ac:dyDescent="0.2">
      <c r="A74" t="s">
        <v>440</v>
      </c>
      <c r="B74">
        <v>6.8</v>
      </c>
      <c r="C74">
        <v>4.53</v>
      </c>
      <c r="D74">
        <v>3.84</v>
      </c>
      <c r="E74">
        <v>2.2000000000000002</v>
      </c>
      <c r="F74">
        <v>0.62</v>
      </c>
    </row>
    <row r="75" spans="1:6" x14ac:dyDescent="0.2">
      <c r="A75" t="s">
        <v>439</v>
      </c>
      <c r="B75">
        <v>11.8</v>
      </c>
      <c r="C75">
        <v>5.0199999999999996</v>
      </c>
      <c r="D75">
        <v>6.12</v>
      </c>
      <c r="E75">
        <v>3.41</v>
      </c>
      <c r="F75">
        <v>1.41</v>
      </c>
    </row>
    <row r="76" spans="1:6" x14ac:dyDescent="0.2">
      <c r="A76" t="s">
        <v>438</v>
      </c>
      <c r="B76">
        <v>3.73</v>
      </c>
      <c r="C76">
        <v>4.38</v>
      </c>
      <c r="D76">
        <v>1.73</v>
      </c>
      <c r="E76">
        <v>1.7</v>
      </c>
      <c r="F76">
        <v>1.3</v>
      </c>
    </row>
    <row r="77" spans="1:6" x14ac:dyDescent="0.2">
      <c r="A77" t="s">
        <v>437</v>
      </c>
      <c r="B77">
        <v>9.01</v>
      </c>
      <c r="C77">
        <v>6.39</v>
      </c>
      <c r="D77">
        <v>5.48</v>
      </c>
      <c r="E77">
        <v>3.03</v>
      </c>
      <c r="F77">
        <v>3.69</v>
      </c>
    </row>
    <row r="78" spans="1:6" x14ac:dyDescent="0.2">
      <c r="A78" t="s">
        <v>436</v>
      </c>
      <c r="B78">
        <v>6.88</v>
      </c>
      <c r="C78">
        <v>5.81</v>
      </c>
      <c r="D78">
        <v>3.93</v>
      </c>
      <c r="E78">
        <v>3.55</v>
      </c>
      <c r="F78">
        <v>16.600000000000001</v>
      </c>
    </row>
    <row r="79" spans="1:6" x14ac:dyDescent="0.2">
      <c r="A79" t="s">
        <v>435</v>
      </c>
      <c r="B79">
        <v>8.23</v>
      </c>
      <c r="C79">
        <v>11</v>
      </c>
      <c r="D79">
        <v>5.34</v>
      </c>
      <c r="E79">
        <v>5.36</v>
      </c>
      <c r="F79">
        <v>7.15</v>
      </c>
    </row>
    <row r="80" spans="1:6" x14ac:dyDescent="0.2">
      <c r="A80" t="s">
        <v>434</v>
      </c>
      <c r="B80">
        <v>5.58</v>
      </c>
      <c r="C80">
        <v>8.82</v>
      </c>
      <c r="D80">
        <v>3.41</v>
      </c>
      <c r="E80">
        <v>4.22</v>
      </c>
      <c r="F80">
        <v>3.51</v>
      </c>
    </row>
    <row r="81" spans="1:6" x14ac:dyDescent="0.2">
      <c r="A81" t="s">
        <v>433</v>
      </c>
      <c r="B81">
        <v>8.49</v>
      </c>
      <c r="C81">
        <v>10.1</v>
      </c>
      <c r="D81">
        <v>5.47</v>
      </c>
      <c r="E81">
        <v>5.07</v>
      </c>
      <c r="F81">
        <v>1</v>
      </c>
    </row>
    <row r="82" spans="1:6" x14ac:dyDescent="0.2">
      <c r="A82" t="s">
        <v>348</v>
      </c>
      <c r="B82">
        <v>8.76</v>
      </c>
      <c r="C82">
        <v>10.3</v>
      </c>
      <c r="D82">
        <v>6.26</v>
      </c>
      <c r="E82">
        <v>5.8</v>
      </c>
      <c r="F82">
        <v>1</v>
      </c>
    </row>
    <row r="83" spans="1:6" x14ac:dyDescent="0.2">
      <c r="A83" t="s">
        <v>432</v>
      </c>
      <c r="B83">
        <v>9.74</v>
      </c>
      <c r="C83">
        <v>7.39</v>
      </c>
      <c r="D83">
        <v>4.63</v>
      </c>
      <c r="E83">
        <v>3.75</v>
      </c>
      <c r="F83">
        <v>6.63</v>
      </c>
    </row>
    <row r="84" spans="1:6" x14ac:dyDescent="0.2">
      <c r="A84" t="s">
        <v>431</v>
      </c>
      <c r="B84">
        <v>5.23</v>
      </c>
      <c r="C84">
        <v>5.47</v>
      </c>
      <c r="D84">
        <v>3.93</v>
      </c>
      <c r="E84">
        <v>3.17</v>
      </c>
      <c r="F84">
        <v>12.8</v>
      </c>
    </row>
    <row r="85" spans="1:6" x14ac:dyDescent="0.2">
      <c r="A85" t="s">
        <v>430</v>
      </c>
      <c r="B85">
        <v>4.0599999999999996</v>
      </c>
      <c r="C85">
        <v>4.4400000000000004</v>
      </c>
      <c r="D85">
        <v>2.42</v>
      </c>
      <c r="E85">
        <v>2.1800000000000002</v>
      </c>
      <c r="F85">
        <v>3.58</v>
      </c>
    </row>
    <row r="86" spans="1:6" x14ac:dyDescent="0.2">
      <c r="A86" t="s">
        <v>429</v>
      </c>
      <c r="B86">
        <v>6.97</v>
      </c>
      <c r="C86">
        <v>5.87</v>
      </c>
      <c r="D86">
        <v>3.91</v>
      </c>
      <c r="E86">
        <v>3.56</v>
      </c>
      <c r="F86">
        <v>20</v>
      </c>
    </row>
    <row r="87" spans="1:6" x14ac:dyDescent="0.2">
      <c r="A87" t="s">
        <v>428</v>
      </c>
      <c r="B87">
        <v>7.98</v>
      </c>
      <c r="C87">
        <v>8.34</v>
      </c>
      <c r="D87">
        <v>5.0599999999999996</v>
      </c>
      <c r="E87">
        <v>4.68</v>
      </c>
      <c r="F87">
        <v>7.36</v>
      </c>
    </row>
    <row r="88" spans="1:6" x14ac:dyDescent="0.2">
      <c r="A88" s="28" t="s">
        <v>427</v>
      </c>
      <c r="B88" s="4">
        <v>3.22</v>
      </c>
      <c r="C88" s="4">
        <v>6.83</v>
      </c>
      <c r="D88" s="4">
        <v>73.400000000000006</v>
      </c>
      <c r="E88" s="4">
        <v>26.4</v>
      </c>
      <c r="F88" s="4">
        <v>6.5000000000000002E-2</v>
      </c>
    </row>
    <row r="89" spans="1:6" x14ac:dyDescent="0.2">
      <c r="A89" s="28" t="s">
        <v>365</v>
      </c>
      <c r="B89" s="4">
        <v>3.63</v>
      </c>
      <c r="C89" s="4">
        <v>9.33</v>
      </c>
      <c r="D89" s="4">
        <v>84.2</v>
      </c>
      <c r="E89" s="4">
        <v>29.9</v>
      </c>
      <c r="F89" s="4">
        <v>1.1599999999999999</v>
      </c>
    </row>
    <row r="90" spans="1:6" x14ac:dyDescent="0.2">
      <c r="A90" s="28" t="s">
        <v>376</v>
      </c>
      <c r="B90" s="4">
        <v>8.6999999999999993</v>
      </c>
      <c r="C90" s="4">
        <v>7.25</v>
      </c>
      <c r="D90" s="4">
        <v>84.2</v>
      </c>
      <c r="E90" s="4">
        <v>77.7</v>
      </c>
      <c r="F90" s="4">
        <v>5.23</v>
      </c>
    </row>
    <row r="91" spans="1:6" x14ac:dyDescent="0.2">
      <c r="A91" s="28" t="s">
        <v>409</v>
      </c>
      <c r="B91" s="4">
        <v>2.4</v>
      </c>
      <c r="C91" s="4">
        <v>8.33</v>
      </c>
      <c r="D91" s="4">
        <v>75.900000000000006</v>
      </c>
      <c r="E91" s="4">
        <v>19.100000000000001</v>
      </c>
      <c r="F91" s="4">
        <v>6.2E-2</v>
      </c>
    </row>
    <row r="92" spans="1:6" x14ac:dyDescent="0.2">
      <c r="A92" s="28" t="s">
        <v>426</v>
      </c>
      <c r="B92" s="4">
        <v>7.27</v>
      </c>
      <c r="C92" s="4">
        <v>6.98</v>
      </c>
      <c r="D92" s="4">
        <v>73.400000000000006</v>
      </c>
      <c r="E92" s="4">
        <v>65.5</v>
      </c>
      <c r="F92" s="4">
        <v>0.36</v>
      </c>
    </row>
    <row r="93" spans="1:6" x14ac:dyDescent="0.2">
      <c r="A93" s="28" t="s">
        <v>366</v>
      </c>
      <c r="B93" s="4">
        <v>6.42</v>
      </c>
      <c r="C93" s="4">
        <v>7.52</v>
      </c>
      <c r="D93" s="4">
        <v>79.2</v>
      </c>
      <c r="E93" s="4">
        <v>64.5</v>
      </c>
      <c r="F93" s="4">
        <v>2.44</v>
      </c>
    </row>
    <row r="94" spans="1:6" x14ac:dyDescent="0.2">
      <c r="A94" s="28" t="s">
        <v>382</v>
      </c>
      <c r="B94" s="4">
        <v>2.6</v>
      </c>
      <c r="C94" s="4">
        <v>5.29</v>
      </c>
      <c r="D94" s="4">
        <v>72.2</v>
      </c>
      <c r="E94" s="4">
        <v>31.2</v>
      </c>
      <c r="F94" s="4">
        <v>0.1</v>
      </c>
    </row>
    <row r="95" spans="1:6" x14ac:dyDescent="0.2">
      <c r="A95" s="28" t="s">
        <v>357</v>
      </c>
      <c r="B95" s="4">
        <v>5.6</v>
      </c>
      <c r="C95" s="4">
        <v>6.16</v>
      </c>
      <c r="D95" s="4">
        <v>70.400000000000006</v>
      </c>
      <c r="E95" s="4">
        <v>52.8</v>
      </c>
      <c r="F95" s="4">
        <v>0.14000000000000001</v>
      </c>
    </row>
    <row r="96" spans="1:6" x14ac:dyDescent="0.2">
      <c r="A96" s="28" t="s">
        <v>367</v>
      </c>
      <c r="B96" s="4">
        <v>7.33</v>
      </c>
      <c r="C96" s="4">
        <v>7.25</v>
      </c>
      <c r="D96" s="4">
        <v>81.3</v>
      </c>
      <c r="E96" s="4">
        <v>65.5</v>
      </c>
      <c r="F96" s="4">
        <v>0.27</v>
      </c>
    </row>
    <row r="97" spans="1:6" x14ac:dyDescent="0.2">
      <c r="A97" s="28" t="s">
        <v>372</v>
      </c>
      <c r="B97" s="4">
        <v>1.94</v>
      </c>
      <c r="C97" s="4">
        <v>5.72</v>
      </c>
      <c r="D97" s="4">
        <v>57</v>
      </c>
      <c r="E97" s="4">
        <v>14.5</v>
      </c>
      <c r="F97" s="4">
        <v>0.32</v>
      </c>
    </row>
    <row r="98" spans="1:6" x14ac:dyDescent="0.2">
      <c r="A98" s="28" t="s">
        <v>377</v>
      </c>
      <c r="B98" s="4">
        <v>1.5</v>
      </c>
      <c r="C98" s="4">
        <v>6.78</v>
      </c>
      <c r="D98" s="4">
        <v>73.900000000000006</v>
      </c>
      <c r="E98" s="4">
        <v>14.3</v>
      </c>
      <c r="F98" s="4">
        <v>0.38</v>
      </c>
    </row>
    <row r="99" spans="1:6" x14ac:dyDescent="0.2">
      <c r="A99" s="28" t="s">
        <v>425</v>
      </c>
      <c r="B99" s="4">
        <v>4.84</v>
      </c>
      <c r="C99" s="4">
        <v>6.9</v>
      </c>
      <c r="D99" s="4">
        <v>82.8</v>
      </c>
      <c r="E99" s="4">
        <v>47.6</v>
      </c>
      <c r="F99" s="4">
        <v>0.43</v>
      </c>
    </row>
    <row r="100" spans="1:6" x14ac:dyDescent="0.2">
      <c r="A100" s="28" t="s">
        <v>368</v>
      </c>
      <c r="B100" s="4">
        <v>8.3800000000000008</v>
      </c>
      <c r="C100" s="4">
        <v>7.13</v>
      </c>
      <c r="D100" s="4">
        <v>74</v>
      </c>
      <c r="E100" s="4">
        <v>74.099999999999994</v>
      </c>
      <c r="F100" s="4">
        <v>6.24</v>
      </c>
    </row>
    <row r="101" spans="1:6" x14ac:dyDescent="0.2">
      <c r="A101" s="28" t="s">
        <v>395</v>
      </c>
      <c r="B101" s="4">
        <v>2.2599999999999998</v>
      </c>
      <c r="C101" s="4">
        <v>5.27</v>
      </c>
      <c r="D101" s="4">
        <v>79.400000000000006</v>
      </c>
      <c r="E101" s="4">
        <v>17.8</v>
      </c>
      <c r="F101" s="4">
        <v>0.15</v>
      </c>
    </row>
    <row r="102" spans="1:6" x14ac:dyDescent="0.2">
      <c r="A102" s="28" t="s">
        <v>378</v>
      </c>
      <c r="B102" s="4">
        <v>5.25</v>
      </c>
      <c r="C102" s="4">
        <v>4.2300000000000004</v>
      </c>
      <c r="D102" s="4">
        <v>69</v>
      </c>
      <c r="E102" s="4">
        <v>64.599999999999994</v>
      </c>
      <c r="F102" s="4">
        <v>0.47</v>
      </c>
    </row>
    <row r="103" spans="1:6" x14ac:dyDescent="0.2">
      <c r="A103" s="28" t="s">
        <v>369</v>
      </c>
      <c r="B103" s="4">
        <v>6.91</v>
      </c>
      <c r="C103" s="4">
        <v>8.48</v>
      </c>
      <c r="D103" s="4">
        <v>76.3</v>
      </c>
      <c r="E103" s="4">
        <v>49.4</v>
      </c>
      <c r="F103" s="4">
        <v>3.29</v>
      </c>
    </row>
    <row r="104" spans="1:6" x14ac:dyDescent="0.2">
      <c r="A104" s="28" t="s">
        <v>359</v>
      </c>
      <c r="B104" s="4">
        <v>4.16</v>
      </c>
      <c r="C104" s="4">
        <v>5.89</v>
      </c>
      <c r="D104" s="4">
        <v>71.2</v>
      </c>
      <c r="E104" s="4">
        <v>48.9</v>
      </c>
      <c r="F104" s="4">
        <v>10.199999999999999</v>
      </c>
    </row>
    <row r="105" spans="1:6" x14ac:dyDescent="0.2">
      <c r="A105" s="28" t="s">
        <v>370</v>
      </c>
      <c r="B105" s="4">
        <v>5.44</v>
      </c>
      <c r="C105" s="4">
        <v>7.04</v>
      </c>
      <c r="D105" s="4">
        <v>81.400000000000006</v>
      </c>
      <c r="E105" s="4">
        <v>54.1</v>
      </c>
      <c r="F105" s="4">
        <v>2.64</v>
      </c>
    </row>
    <row r="106" spans="1:6" x14ac:dyDescent="0.2">
      <c r="A106" s="28" t="s">
        <v>360</v>
      </c>
      <c r="B106" s="4">
        <v>3.06</v>
      </c>
      <c r="C106" s="4">
        <v>7.35</v>
      </c>
      <c r="D106" s="4">
        <v>80.3</v>
      </c>
      <c r="E106" s="4">
        <v>28.2</v>
      </c>
      <c r="F106" s="4">
        <v>0.2</v>
      </c>
    </row>
    <row r="107" spans="1:6" x14ac:dyDescent="0.2">
      <c r="A107" s="28" t="s">
        <v>386</v>
      </c>
      <c r="B107" s="4">
        <v>5.73</v>
      </c>
      <c r="C107" s="4">
        <v>4.8600000000000003</v>
      </c>
      <c r="D107" s="4">
        <v>62.4</v>
      </c>
      <c r="E107" s="4">
        <v>48.8</v>
      </c>
      <c r="F107" s="4">
        <v>0.65</v>
      </c>
    </row>
    <row r="108" spans="1:6" x14ac:dyDescent="0.2">
      <c r="A108" s="28" t="s">
        <v>361</v>
      </c>
      <c r="B108" s="4">
        <v>5.51</v>
      </c>
      <c r="C108" s="4">
        <v>8.57</v>
      </c>
      <c r="D108" s="4">
        <v>86.4</v>
      </c>
      <c r="E108" s="4">
        <v>50.3</v>
      </c>
      <c r="F108" s="4">
        <v>1.1499999999999999</v>
      </c>
    </row>
    <row r="109" spans="1:6" x14ac:dyDescent="0.2">
      <c r="A109" s="28" t="s">
        <v>396</v>
      </c>
      <c r="B109" s="4">
        <v>6.71</v>
      </c>
      <c r="C109" s="4">
        <v>7.19</v>
      </c>
      <c r="D109" s="4">
        <v>82.7</v>
      </c>
      <c r="E109" s="4">
        <v>69.400000000000006</v>
      </c>
      <c r="F109" s="4">
        <v>6.48</v>
      </c>
    </row>
    <row r="110" spans="1:6" x14ac:dyDescent="0.2">
      <c r="A110" s="28" t="s">
        <v>358</v>
      </c>
      <c r="B110" s="4">
        <v>4.95</v>
      </c>
      <c r="C110" s="4">
        <v>6.35</v>
      </c>
      <c r="D110" s="4">
        <v>66.7</v>
      </c>
      <c r="E110" s="4">
        <v>41.1</v>
      </c>
      <c r="F110" s="4">
        <v>4.3499999999999996</v>
      </c>
    </row>
    <row r="111" spans="1:6" x14ac:dyDescent="0.2">
      <c r="A111" s="28" t="s">
        <v>373</v>
      </c>
      <c r="B111" s="4">
        <v>11.3</v>
      </c>
      <c r="C111" s="4">
        <v>8.5399999999999991</v>
      </c>
      <c r="D111" s="4">
        <v>76.5</v>
      </c>
      <c r="E111" s="4">
        <v>78.400000000000006</v>
      </c>
      <c r="F111" s="4">
        <v>0.72</v>
      </c>
    </row>
    <row r="112" spans="1:6" x14ac:dyDescent="0.2">
      <c r="A112" s="28" t="s">
        <v>406</v>
      </c>
      <c r="B112" s="4">
        <v>9.59</v>
      </c>
      <c r="C112" s="4">
        <v>5.91</v>
      </c>
      <c r="D112" s="4">
        <v>72.099999999999994</v>
      </c>
      <c r="E112" s="4">
        <v>87</v>
      </c>
      <c r="F112" s="4">
        <v>7.93</v>
      </c>
    </row>
    <row r="113" spans="1:6" x14ac:dyDescent="0.2">
      <c r="A113" s="28" t="s">
        <v>374</v>
      </c>
      <c r="B113" s="4">
        <v>8.7100000000000009</v>
      </c>
      <c r="C113" s="4">
        <v>8.43</v>
      </c>
      <c r="D113" s="4">
        <v>72.3</v>
      </c>
      <c r="E113" s="4">
        <v>74.5</v>
      </c>
      <c r="F113" s="4">
        <v>0.94</v>
      </c>
    </row>
    <row r="114" spans="1:6" x14ac:dyDescent="0.2">
      <c r="A114" s="28" t="s">
        <v>424</v>
      </c>
      <c r="B114" s="4">
        <v>6.86</v>
      </c>
      <c r="C114" s="4">
        <v>4.91</v>
      </c>
      <c r="D114" s="4">
        <v>62.5</v>
      </c>
      <c r="E114" s="4">
        <v>69.5</v>
      </c>
      <c r="F114" s="4">
        <v>1.02</v>
      </c>
    </row>
    <row r="115" spans="1:6" x14ac:dyDescent="0.2">
      <c r="A115" s="28" t="s">
        <v>423</v>
      </c>
      <c r="B115" s="4">
        <v>7.04</v>
      </c>
      <c r="C115" s="4">
        <v>9.94</v>
      </c>
      <c r="D115" s="4">
        <v>79</v>
      </c>
      <c r="E115" s="4">
        <v>49.1</v>
      </c>
      <c r="F115" s="4">
        <v>3.47</v>
      </c>
    </row>
    <row r="116" spans="1:6" x14ac:dyDescent="0.2">
      <c r="A116" s="28" t="s">
        <v>363</v>
      </c>
      <c r="B116" s="4">
        <v>7.59</v>
      </c>
      <c r="C116" s="4">
        <v>5.42</v>
      </c>
      <c r="D116" s="4">
        <v>62.6</v>
      </c>
      <c r="E116" s="4">
        <v>70.2</v>
      </c>
      <c r="F116" s="4">
        <v>1.73</v>
      </c>
    </row>
    <row r="117" spans="1:6" x14ac:dyDescent="0.2">
      <c r="A117" s="28" t="s">
        <v>364</v>
      </c>
      <c r="B117" s="4">
        <v>5.05</v>
      </c>
      <c r="C117" s="4">
        <v>8.17</v>
      </c>
      <c r="D117" s="4">
        <v>69.5</v>
      </c>
      <c r="E117" s="4">
        <v>32.700000000000003</v>
      </c>
      <c r="F117" s="4">
        <v>0.5</v>
      </c>
    </row>
    <row r="118" spans="1:6" x14ac:dyDescent="0.2">
      <c r="A118" s="28" t="s">
        <v>375</v>
      </c>
      <c r="B118" s="4">
        <v>4.9400000000000004</v>
      </c>
      <c r="C118" s="4">
        <v>6.01</v>
      </c>
      <c r="D118" s="4">
        <v>68.2</v>
      </c>
      <c r="E118" s="4">
        <v>47.7</v>
      </c>
      <c r="F118" s="4">
        <v>0.42</v>
      </c>
    </row>
    <row r="119" spans="1:6" x14ac:dyDescent="0.2">
      <c r="A119" s="28" t="s">
        <v>371</v>
      </c>
      <c r="B119" s="4">
        <v>5.72</v>
      </c>
      <c r="C119" s="4">
        <v>7.1</v>
      </c>
      <c r="D119" s="4">
        <v>77.900000000000006</v>
      </c>
      <c r="E119" s="4">
        <v>55.2</v>
      </c>
      <c r="F119" s="4">
        <v>5.05</v>
      </c>
    </row>
    <row r="120" spans="1:6" x14ac:dyDescent="0.2">
      <c r="A120" t="s">
        <v>383</v>
      </c>
      <c r="B120">
        <v>11.5</v>
      </c>
      <c r="C120">
        <v>4.01</v>
      </c>
      <c r="D120">
        <v>5.68</v>
      </c>
      <c r="E120">
        <v>3.41</v>
      </c>
      <c r="F120">
        <v>0.23</v>
      </c>
    </row>
    <row r="121" spans="1:6" x14ac:dyDescent="0.2">
      <c r="A121" t="s">
        <v>402</v>
      </c>
      <c r="B121">
        <v>4.16</v>
      </c>
      <c r="C121">
        <v>4.4400000000000004</v>
      </c>
      <c r="D121">
        <v>1.95</v>
      </c>
      <c r="E121">
        <v>2.27</v>
      </c>
      <c r="F121">
        <v>9.06</v>
      </c>
    </row>
    <row r="122" spans="1:6" x14ac:dyDescent="0.2">
      <c r="A122" t="s">
        <v>388</v>
      </c>
      <c r="B122">
        <v>5.75</v>
      </c>
      <c r="C122">
        <v>5.56</v>
      </c>
      <c r="D122">
        <v>3.17</v>
      </c>
      <c r="E122">
        <v>3.55</v>
      </c>
      <c r="F122">
        <v>10.199999999999999</v>
      </c>
    </row>
    <row r="123" spans="1:6" x14ac:dyDescent="0.2">
      <c r="A123" t="s">
        <v>403</v>
      </c>
      <c r="B123">
        <v>2.5299999999999998</v>
      </c>
      <c r="C123">
        <v>4.05</v>
      </c>
      <c r="D123">
        <v>1.85</v>
      </c>
      <c r="E123">
        <v>1.54</v>
      </c>
      <c r="F123">
        <v>29</v>
      </c>
    </row>
    <row r="124" spans="1:6" x14ac:dyDescent="0.2">
      <c r="A124" t="s">
        <v>399</v>
      </c>
      <c r="B124">
        <v>10.6</v>
      </c>
      <c r="C124">
        <v>2.4</v>
      </c>
      <c r="D124">
        <v>4.24</v>
      </c>
      <c r="E124">
        <v>1.98</v>
      </c>
      <c r="F124">
        <v>3.99</v>
      </c>
    </row>
    <row r="125" spans="1:6" x14ac:dyDescent="0.2">
      <c r="A125" t="s">
        <v>401</v>
      </c>
      <c r="B125">
        <v>16</v>
      </c>
      <c r="C125">
        <v>4.3099999999999996</v>
      </c>
      <c r="D125">
        <v>3.7</v>
      </c>
      <c r="E125">
        <v>3.83</v>
      </c>
      <c r="F125">
        <v>1.03</v>
      </c>
    </row>
    <row r="126" spans="1:6" x14ac:dyDescent="0.2">
      <c r="A126" t="s">
        <v>400</v>
      </c>
      <c r="B126">
        <v>6.43</v>
      </c>
      <c r="C126">
        <v>7.8</v>
      </c>
      <c r="D126">
        <v>5.16</v>
      </c>
      <c r="E126">
        <v>5.79</v>
      </c>
      <c r="F126">
        <v>4.99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SYMPHONY</vt:lpstr>
      <vt:lpstr>Whole cohort SYMPHONY</vt:lpstr>
      <vt:lpstr>Tregs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Hannah Hu</cp:lastModifiedBy>
  <dcterms:created xsi:type="dcterms:W3CDTF">2022-11-11T23:18:35Z</dcterms:created>
  <dcterms:modified xsi:type="dcterms:W3CDTF">2024-05-24T04:54:39Z</dcterms:modified>
</cp:coreProperties>
</file>