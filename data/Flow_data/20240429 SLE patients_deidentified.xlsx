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64eb9c6c0c38ee/Documents/GitHub/sle_ml_x/data/Flow_data/"/>
    </mc:Choice>
  </mc:AlternateContent>
  <xr:revisionPtr revIDLastSave="4" documentId="8_{45670A39-FF05-468B-9C71-3D8C5685EA24}" xr6:coauthVersionLast="47" xr6:coauthVersionMax="47" xr10:uidLastSave="{D3503CAF-3BAE-4313-800E-AC80563B80E5}"/>
  <bookViews>
    <workbookView xWindow="-98" yWindow="-98" windowWidth="21795" windowHeight="12975" activeTab="2" xr2:uid="{EB02E334-A87E-4404-8D4D-51F4F530A4A4}"/>
  </bookViews>
  <sheets>
    <sheet name="Tregs" sheetId="3" r:id="rId1"/>
    <sheet name="SYMPHONY" sheetId="5" r:id="rId2"/>
    <sheet name="Whole cohort SYMPHONY" sheetId="7" r:id="rId3"/>
  </sheets>
  <definedNames>
    <definedName name="_xlnm._FilterDatabase" localSheetId="1" hidden="1">SYMPHONY!$A$1:$JI$68</definedName>
    <definedName name="_xlnm._FilterDatabase" localSheetId="0" hidden="1">Tregs!$A$1:$F$126</definedName>
    <definedName name="_xlnm._FilterDatabase" localSheetId="2" hidden="1">'Whole cohort SYMPHONY'!$A$1:$BM$153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5" l="1"/>
  <c r="S11" i="5"/>
  <c r="S6" i="5"/>
  <c r="S3" i="5"/>
  <c r="S4" i="5"/>
  <c r="S5" i="5"/>
  <c r="S2" i="5"/>
  <c r="S8" i="5"/>
  <c r="S9" i="5"/>
  <c r="S7" i="5"/>
</calcChain>
</file>

<file path=xl/sharedStrings.xml><?xml version="1.0" encoding="utf-8"?>
<sst xmlns="http://schemas.openxmlformats.org/spreadsheetml/2006/main" count="999" uniqueCount="426">
  <si>
    <t>Disease group</t>
  </si>
  <si>
    <t>SLE participant</t>
  </si>
  <si>
    <t>ANGU HC</t>
  </si>
  <si>
    <t>ARMU HC</t>
  </si>
  <si>
    <t>BESH HC</t>
  </si>
  <si>
    <t>AMRU HC</t>
  </si>
  <si>
    <t>AIKI HC</t>
  </si>
  <si>
    <t>ALKI HC</t>
  </si>
  <si>
    <t>CATJ HC</t>
  </si>
  <si>
    <t>CAWI HC</t>
  </si>
  <si>
    <t>CLYO HC</t>
  </si>
  <si>
    <t>DIAD HC</t>
  </si>
  <si>
    <t>DOTS HC</t>
  </si>
  <si>
    <t>ELDE HC</t>
  </si>
  <si>
    <t>ELTA HC</t>
  </si>
  <si>
    <t>GERA HC</t>
  </si>
  <si>
    <t>HELE HC</t>
  </si>
  <si>
    <t>JAHE HC</t>
  </si>
  <si>
    <t>JALO HC</t>
  </si>
  <si>
    <t>JEMO HC</t>
  </si>
  <si>
    <t>JENA HC</t>
  </si>
  <si>
    <t>JOMA HC</t>
  </si>
  <si>
    <t>JUBI HC</t>
  </si>
  <si>
    <t>KAKE HC</t>
  </si>
  <si>
    <t>KAPA HC</t>
  </si>
  <si>
    <t>LYBO HC</t>
  </si>
  <si>
    <t>MAAR HC</t>
  </si>
  <si>
    <t>MATA HC</t>
  </si>
  <si>
    <t>MEFA HC</t>
  </si>
  <si>
    <t>MERO HC</t>
  </si>
  <si>
    <t>MIFI HC</t>
  </si>
  <si>
    <t>NABH HC</t>
  </si>
  <si>
    <t>NOMA HC</t>
  </si>
  <si>
    <t>PAOY HC</t>
  </si>
  <si>
    <t>PEBR HC</t>
  </si>
  <si>
    <t>PECR HC</t>
  </si>
  <si>
    <t>PEDY HC</t>
  </si>
  <si>
    <t>PITE HC</t>
  </si>
  <si>
    <t>SHSW HC</t>
  </si>
  <si>
    <t>SOJA HC</t>
  </si>
  <si>
    <t>STLE HC</t>
  </si>
  <si>
    <t>STRU HC</t>
  </si>
  <si>
    <t>STXI HC</t>
  </si>
  <si>
    <t>SUME HC</t>
  </si>
  <si>
    <t>TING HC</t>
  </si>
  <si>
    <t>VIAR HC</t>
  </si>
  <si>
    <t>YAMA HC</t>
  </si>
  <si>
    <t>YESA HC</t>
  </si>
  <si>
    <t>YOSE HC</t>
  </si>
  <si>
    <t>THFO HC</t>
  </si>
  <si>
    <t>ALCR HC</t>
  </si>
  <si>
    <t>PEDA HC</t>
  </si>
  <si>
    <t>JARO HC</t>
  </si>
  <si>
    <t>STTA HC</t>
  </si>
  <si>
    <t>ANMO HC</t>
  </si>
  <si>
    <t>Healthy control</t>
  </si>
  <si>
    <t>SOSE SLE</t>
  </si>
  <si>
    <t>VADA SLE</t>
  </si>
  <si>
    <t>HALA SLE</t>
  </si>
  <si>
    <t>ARLO SLE</t>
  </si>
  <si>
    <t>AYMY SLE</t>
  </si>
  <si>
    <t>ELLI SLE</t>
  </si>
  <si>
    <t>AMYI SLE</t>
  </si>
  <si>
    <t>NGQU SLE</t>
  </si>
  <si>
    <t>ROTH SLE</t>
  </si>
  <si>
    <t>MAMU SLE</t>
  </si>
  <si>
    <t>Age</t>
  </si>
  <si>
    <t>ID</t>
  </si>
  <si>
    <t>Ethnicity</t>
  </si>
  <si>
    <t>Biological gender</t>
  </si>
  <si>
    <t>Southern Europe/Australian</t>
  </si>
  <si>
    <t>Female</t>
  </si>
  <si>
    <t>South Asia</t>
  </si>
  <si>
    <t>East Asia</t>
  </si>
  <si>
    <t>South East Asia</t>
  </si>
  <si>
    <t>South America</t>
  </si>
  <si>
    <t>North West European</t>
  </si>
  <si>
    <t>Male</t>
  </si>
  <si>
    <t>ANA result (pattern and titre) i.e. homogeneous 1:80</t>
  </si>
  <si>
    <t>Constitutional - Fever</t>
  </si>
  <si>
    <t>Haematologic highest weighted criterion score</t>
  </si>
  <si>
    <t>Neuropsychiatric highest weighted criterion score</t>
  </si>
  <si>
    <t>Mucocutaneous highest weighted criterion score</t>
  </si>
  <si>
    <t>Serosal highest weighted criterion score</t>
  </si>
  <si>
    <t>Renal highest weighted criterion score</t>
  </si>
  <si>
    <t>Antiphospholipid antibodies - Anti-cardiolipin antibodies OR Anti-beta2GP1 antibodies OR Lupus anticoagulant</t>
  </si>
  <si>
    <t>Complement proteins highest weighted criterion score</t>
  </si>
  <si>
    <t>SLE-specific antibodies - Anti-dsDNA antibody* OR anti-Smith antibody</t>
  </si>
  <si>
    <t>EULAR/ACR Total Score</t>
  </si>
  <si>
    <t>SLEDAI-2k score</t>
  </si>
  <si>
    <t>Date of SLE diagnosis</t>
  </si>
  <si>
    <t>Duration of SLE diagnosis</t>
  </si>
  <si>
    <t>Current prednisone</t>
  </si>
  <si>
    <t>Predniso(lo)ne dose (mg/day)</t>
  </si>
  <si>
    <t>Predniso(lo)ne date initiated</t>
  </si>
  <si>
    <t>Corticosteroid (non oral)</t>
  </si>
  <si>
    <t>Corticosteroid (non oral) please specify:</t>
  </si>
  <si>
    <t>Corticosteroid (non oral) dose</t>
  </si>
  <si>
    <t>Corticosteroid (non oral) date initiated</t>
  </si>
  <si>
    <t>Hydroxychloroquine</t>
  </si>
  <si>
    <t>Hydroxychloroquine dose (mg/day)</t>
  </si>
  <si>
    <t>Hydroxychloroquine date initiated</t>
  </si>
  <si>
    <t>No of total immunosuppressants</t>
  </si>
  <si>
    <t>Rituximab</t>
  </si>
  <si>
    <t>Cyclophosphamide ever</t>
  </si>
  <si>
    <t>Current medications for non-lupus conditions (include dose and date initiated)</t>
  </si>
  <si>
    <t>Current other meds number</t>
  </si>
  <si>
    <t>Antibiotic prophylaxis</t>
  </si>
  <si>
    <t>Predniso(lo)ne &lt;15mg, dose (mg/day)</t>
  </si>
  <si>
    <t>Predniso(lo)ne &gt;/= 15mg, dose (mg/day)</t>
  </si>
  <si>
    <t>Predniso(lo)ne &gt;/= 15mg, date range</t>
  </si>
  <si>
    <t>Predniso(lo)ne &lt; 15 mg</t>
  </si>
  <si>
    <t>Predniso(lo)ne &lt; 15mg, dose (mg/day)</t>
  </si>
  <si>
    <t>Predniso(lo)ne &lt; 15mg, date range</t>
  </si>
  <si>
    <t>Corticosteroid (non oral), please specify</t>
  </si>
  <si>
    <t>Corticosteroid (non oral), dose</t>
  </si>
  <si>
    <t>Corticosteroid (non oral), date range</t>
  </si>
  <si>
    <t>Hydroxychloroquine date range</t>
  </si>
  <si>
    <t>Azathioprine</t>
  </si>
  <si>
    <t>Azathioprine dose (mg/day)</t>
  </si>
  <si>
    <t>Azathioprine date range</t>
  </si>
  <si>
    <t>Cyclosporine</t>
  </si>
  <si>
    <t>Cyclosporine dose (mg/day)</t>
  </si>
  <si>
    <t>Cyclosporine date range</t>
  </si>
  <si>
    <t>Cyclophosphamide</t>
  </si>
  <si>
    <t>Cyclophosphamide dose (mg/day if PO) or cumulative dose (if IV)</t>
  </si>
  <si>
    <t>Cyclophosphamide date range</t>
  </si>
  <si>
    <t>Leflunomide</t>
  </si>
  <si>
    <t>Leflunomide dose</t>
  </si>
  <si>
    <t>Leflunomide date range</t>
  </si>
  <si>
    <t>6-Mercaptopurine (6-MP)</t>
  </si>
  <si>
    <t>6-Mercaptopurine (6-MP) dose (mg/day)</t>
  </si>
  <si>
    <t>6-Mercaptopurine (6-MP) date range</t>
  </si>
  <si>
    <t>Methotrexate</t>
  </si>
  <si>
    <t>Methotrexate dose (mg/wk)</t>
  </si>
  <si>
    <t>Methotrexate date range</t>
  </si>
  <si>
    <t>Mycophenolate mofetil</t>
  </si>
  <si>
    <t>Mycophenolate mofetil dose (mg/day)</t>
  </si>
  <si>
    <t>Mycophenolate mofetil date range</t>
  </si>
  <si>
    <t>Mycophenolic acid</t>
  </si>
  <si>
    <t>Mycophenolic acid dose (mg/day)</t>
  </si>
  <si>
    <t>Mycophenolic acid date range</t>
  </si>
  <si>
    <t>Sulfasalazine</t>
  </si>
  <si>
    <t>Sulfasalazine dose (mg/day)</t>
  </si>
  <si>
    <t>Sulfasalazine date range</t>
  </si>
  <si>
    <t>Belimumab</t>
  </si>
  <si>
    <t>Belimumab dose (cumulative)</t>
  </si>
  <si>
    <t>Belimumab date range and interval between doses</t>
  </si>
  <si>
    <t>Rituximab dose (cumulative dose)</t>
  </si>
  <si>
    <t>Rituximab date range and interval between doses</t>
  </si>
  <si>
    <t>Sirolimus</t>
  </si>
  <si>
    <t>Sirolimus dose</t>
  </si>
  <si>
    <t>Sirolimus date range</t>
  </si>
  <si>
    <t>Tacrolimus</t>
  </si>
  <si>
    <t>Tacrolimus dose</t>
  </si>
  <si>
    <t>Tacrolimus date range</t>
  </si>
  <si>
    <t>Other</t>
  </si>
  <si>
    <t>Other, please specify:</t>
  </si>
  <si>
    <t>Other, dose</t>
  </si>
  <si>
    <t>Other, date range</t>
  </si>
  <si>
    <t>Diabetes (type 1)</t>
  </si>
  <si>
    <t>Diabetes (type 2)</t>
  </si>
  <si>
    <t>Last HbA1c (%) and date checked</t>
  </si>
  <si>
    <t>Renal disease</t>
  </si>
  <si>
    <t>What stage of kidney disease do you have?</t>
  </si>
  <si>
    <t>Lung disease</t>
  </si>
  <si>
    <t>Lung disease, please specify</t>
  </si>
  <si>
    <t>Other lung disease, please specify</t>
  </si>
  <si>
    <t>Vasculitis</t>
  </si>
  <si>
    <t>Vasculitis diagnosis and organs involved</t>
  </si>
  <si>
    <t>Antiphospholipid syndrome</t>
  </si>
  <si>
    <t>APLS antibody profile (choice=Lupus anticoagulant)</t>
  </si>
  <si>
    <t>APLS antibody profile (choice=Anticardiolipin antibody (IgG and/or IgM))</t>
  </si>
  <si>
    <t>APLS antibody profile (choice=Anti-beta2glycoprotein antibody (IgG and/or IgM))</t>
  </si>
  <si>
    <t>Other morbidities not already mentioned</t>
  </si>
  <si>
    <t>History of active tuberculosis? i.e. confirmed on CXR/culture/PCR</t>
  </si>
  <si>
    <t>Has the active TB been treated?</t>
  </si>
  <si>
    <t>What agents were used and for how long?</t>
  </si>
  <si>
    <t>Previous IGRA result</t>
  </si>
  <si>
    <t>Hepatitis B: core antibody positive?</t>
  </si>
  <si>
    <t>Treatment for Hep B?</t>
  </si>
  <si>
    <t>What agent for treatment of Hep B and at what dose?</t>
  </si>
  <si>
    <t>Hepatitis C</t>
  </si>
  <si>
    <t>Is/Was the Hep C treated?</t>
  </si>
  <si>
    <t>What agents were used? Dose and duration of treatment?</t>
  </si>
  <si>
    <t>Smoking history</t>
  </si>
  <si>
    <t>If smoker, what is the pack year?</t>
  </si>
  <si>
    <t>Date(s) of infection episode(s) (please write as: Episode 1 - mm/yyyy; Episode 2 - mm/yyyy etc)</t>
  </si>
  <si>
    <t>Number of infections</t>
  </si>
  <si>
    <t>Number of infections excluding COVID</t>
  </si>
  <si>
    <t>Number of infections excluding COVID and Strongyloides-H pylori</t>
  </si>
  <si>
    <t>Infection organisms</t>
  </si>
  <si>
    <t>Number of bacterial infections</t>
  </si>
  <si>
    <t>Number of viral infections</t>
  </si>
  <si>
    <t>Number of viral infections excluding COVID</t>
  </si>
  <si>
    <t>Number of fungal infections</t>
  </si>
  <si>
    <t>Number of parasitic infections</t>
  </si>
  <si>
    <t>Number of mycobacterial infections</t>
  </si>
  <si>
    <t>Unknown organism</t>
  </si>
  <si>
    <t>Varicella</t>
  </si>
  <si>
    <t>Coronavirus</t>
  </si>
  <si>
    <t>Fungal infection</t>
  </si>
  <si>
    <t>Mycobacterial infection</t>
  </si>
  <si>
    <t>Opportunistic infection</t>
  </si>
  <si>
    <t>Bone and joint</t>
  </si>
  <si>
    <t>Cardiovascular</t>
  </si>
  <si>
    <t>CNS</t>
  </si>
  <si>
    <t>EENT</t>
  </si>
  <si>
    <t>Gastrointestinal</t>
  </si>
  <si>
    <t>Reproductive tract</t>
  </si>
  <si>
    <t>LRTI</t>
  </si>
  <si>
    <t>Urinary tract</t>
  </si>
  <si>
    <t>Skin and soft tissue</t>
  </si>
  <si>
    <t>Blood</t>
  </si>
  <si>
    <t>Number of hospitalisations for infection</t>
  </si>
  <si>
    <t>Pneumococcal</t>
  </si>
  <si>
    <t>Hepatitis B</t>
  </si>
  <si>
    <t>Chicken pox</t>
  </si>
  <si>
    <t>Zoster</t>
  </si>
  <si>
    <t>Flu vaccine in last 12 months</t>
  </si>
  <si>
    <t>COVID-19</t>
  </si>
  <si>
    <t>Number of COVID vaccines</t>
  </si>
  <si>
    <t>Which COVID-19 vaccine and how many doses?</t>
  </si>
  <si>
    <t>White cell count (x 109/L)</t>
  </si>
  <si>
    <t>Haemaglobin (g/L)</t>
  </si>
  <si>
    <t>Platelets (x 109/L)</t>
  </si>
  <si>
    <t>Neutropaenic</t>
  </si>
  <si>
    <t>Neutrophils (x 109/L) (2.0)</t>
  </si>
  <si>
    <t>Lymphopaenic</t>
  </si>
  <si>
    <t>Lymphocytes (x 109/L) (1.0)</t>
  </si>
  <si>
    <t>Monocytes (x 109/L)</t>
  </si>
  <si>
    <t>Eosinophils (x 109/L)</t>
  </si>
  <si>
    <t>Basophils (x 109/L)</t>
  </si>
  <si>
    <t>Urea (mmol/L)</t>
  </si>
  <si>
    <t>Creatinine (umol/L)</t>
  </si>
  <si>
    <t>eGFR (mL/min/1.73m2)</t>
  </si>
  <si>
    <t>ESR (mm/hr)</t>
  </si>
  <si>
    <t>CRP (mg/L)</t>
  </si>
  <si>
    <t>Hypogammaglobulinaemic</t>
  </si>
  <si>
    <t>Immunoglobulin G (g/L) (6.3)</t>
  </si>
  <si>
    <t>Immunoglobulin A (g/L)</t>
  </si>
  <si>
    <t>Immunoglobulin M (g/L)</t>
  </si>
  <si>
    <t>Subclass IgG1 (g/L)</t>
  </si>
  <si>
    <t>Subclass IgG2 (g/L)</t>
  </si>
  <si>
    <t>Subclass IgG3 (g/L)</t>
  </si>
  <si>
    <t>Subclass IgG4 (g/L)</t>
  </si>
  <si>
    <t>CD45 positive (%)</t>
  </si>
  <si>
    <t>CD3 (x 109/L)</t>
  </si>
  <si>
    <t>CD19 (x 109/L)</t>
  </si>
  <si>
    <t>Ratio CD4:CD8</t>
  </si>
  <si>
    <t>CD3 and CD4 positive (x 109/L)</t>
  </si>
  <si>
    <t>CD3 and CD8 positive (x 109/L)</t>
  </si>
  <si>
    <t>CD3 negative CD56CD16 positive (x 109/L)</t>
  </si>
  <si>
    <t>dsDNA IgG (IU/ml)</t>
  </si>
  <si>
    <t>dsDNA assay method (if known)</t>
  </si>
  <si>
    <t>Complement C3 (g/L)</t>
  </si>
  <si>
    <t>Complement C4 (g/L)</t>
  </si>
  <si>
    <t>Rheumatoid factor (IU/mL)</t>
  </si>
  <si>
    <t>Anti-CCP Antibody (U/mL)</t>
  </si>
  <si>
    <t>Hepatitis B surface Ag</t>
  </si>
  <si>
    <t>Hepatitis B surface Ab</t>
  </si>
  <si>
    <t>Hepatitis B core Ab</t>
  </si>
  <si>
    <t>QuantiFERON-TB Gold/ Interferon Gamma Release Assay</t>
  </si>
  <si>
    <t>Strongyloides IgG</t>
  </si>
  <si>
    <t>Pneumococcal Ab</t>
  </si>
  <si>
    <t>Varicella zoster Ab</t>
  </si>
  <si>
    <t>Urine red blood cell count (x 106/L)</t>
  </si>
  <si>
    <t>Presence of granular or red cell casts</t>
  </si>
  <si>
    <t>Urine protein excretion from 24h</t>
  </si>
  <si>
    <t>Urine protein:creatinine ratio (g/mmol)</t>
  </si>
  <si>
    <t>Urine albumin:creatinine ratio (mg/mmol)</t>
  </si>
  <si>
    <t>Urine creatinine excretion from 24h</t>
  </si>
  <si>
    <t>Notes</t>
  </si>
  <si>
    <t>Sample names</t>
  </si>
  <si>
    <t>Single cells/Lymphocytes/Live cells/NK cells | Freq. of Parent</t>
  </si>
  <si>
    <t>FSC-A, Time subset/Single Cells/Lymphocytes/Live cells/Nk cells/Q1: CD57_BB630- , CD56_BB790+ | Freq. of Parent</t>
  </si>
  <si>
    <t>Single cells/Lymphocytes/Live cells/NK cells/Q2: CD57_BB630+ , CD56_BB790+ | Freq. of Parent</t>
  </si>
  <si>
    <t>Single cells/Lymphocytes/Live cells/NK cells/Q4: CD57_BB630- , CD56_BB790- | Freq. of Parent</t>
  </si>
  <si>
    <t>Single cells/Lymphocytes/Live cells/NK cells/Q3: CD57_BB630+ , CD56_BB790- | Freq. of Parent</t>
  </si>
  <si>
    <t>Single cells/Lymphocytes/Live cells/T cells | Freq. of Parent</t>
  </si>
  <si>
    <t>Single cells/Lymphocytes/Live cells/T cells/NKT  | Freq. of Grandparent</t>
  </si>
  <si>
    <t>Single cells/Lymphocytes/Live cells/T cells/NKT -/MAIT | Freq. of Grandparent</t>
  </si>
  <si>
    <t>Single cells/Lymphocytes/Live cells/T cells/NKT -/MAIT-/Vgd | Freq. of Live cells</t>
  </si>
  <si>
    <t>Single cells/Lymphocytes/Live cells/T cells/NKT -/MAIT-/Vab | Freq. of Live cells</t>
  </si>
  <si>
    <t>Single cells/Lymphocytes/Live cells/T cells/NKT -/MAIT-/Vab/CD4+ | Freq. of Live cells</t>
  </si>
  <si>
    <t>Single cells/Lymphocytes/Live cells/T cells/NKT -/MAIT-/Vab/CD4+/Treg | Freq. of Parent</t>
  </si>
  <si>
    <t>Single cells/Lymphocytes/Live cells/T cells/NKT -/MAIT-/Vab/CD4+/Non Treg/Naive | Freq. of Grandparent</t>
  </si>
  <si>
    <t>Single cells/Lymphocytes/Live cells/T cells/NKT -/MAIT-/Vab/CD4+/Non Treg/Central memory | Freq. of Grandparent</t>
  </si>
  <si>
    <t>Single cells/Lymphocytes/Live cells/T cells/NKT -/MAIT-/Vab/CD4+/Non Treg/Effector memory | Freq. of Grandparent</t>
  </si>
  <si>
    <t>Single cells/Lymphocytes/Live cells/T cells/NKT -/MAIT-/Vab/CD4+/Non Treg/Memory | Freq. of Grandparent</t>
  </si>
  <si>
    <t>Single cells/Lymphocytes/Live cells/T cells/NKT -/MAIT-/Vab/CD4+/Non Treg/Memory/double neg | Freq. of Parent</t>
  </si>
  <si>
    <t>Single cells/Lymphocytes/Live cells/T cells/NKT -/MAIT-/Vab/CD4+/Non Treg/Memory/double pos | Freq. of Parent</t>
  </si>
  <si>
    <t>Single cells/Lymphocytes/Live cells/T cells/NKT -/MAIT-/Vab/CD4+/Non Treg/Memory/Th1 | Freq. of Parent</t>
  </si>
  <si>
    <t>Single cells/Lymphocytes/Live cells/T cells/NKT -/MAIT-/Vab/CD4+/Non Treg/Memory/Th17 | Freq. of Parent</t>
  </si>
  <si>
    <t>Single cells/Lymphocytes/Live cells/T cells/NKT -/MAIT-/Vab/CD4+/Non Treg/Naive 2 | Freq. of Grandparent</t>
  </si>
  <si>
    <t>Single cells/Lymphocytes/Live cells/T cells/NKT -/MAIT-/Vab/CD4+/Non Treg/Tfh | Freq. of Grandparent</t>
  </si>
  <si>
    <t>Single cells/Lymphocytes/Live cells/T cells/NKT -/MAIT-/Vab/CD4+/Non Treg/Tfh/double neg | Freq. of Parent</t>
  </si>
  <si>
    <t>Single cells/Lymphocytes/Live cells/T cells/NKT -/MAIT-/Vab/CD4+/Non Treg/Tfh/double pos | Freq. of Parent</t>
  </si>
  <si>
    <t>Single cells/Lymphocytes/Live cells/T cells/NKT -/MAIT-/Vab/CD4+/Non Treg/Tfh/Tfh1 | Freq. of Parent</t>
  </si>
  <si>
    <t>FSC-A, Time subset/Single Cells/Lymphocytes/Live cells/T cells/NKT-/MAIT-/Vab/CD4+ T cells/Non t regs/Tfh/Th17 | Freq. of Parent</t>
  </si>
  <si>
    <t>FSC-A, Time subset/Single Cells/Lymphocytes/Live cells/T cells/NKT-/MAIT-/Vab/CD8+ T cells | Freq. of Live cells</t>
  </si>
  <si>
    <t>FSC-A, Time subset/Single Cells/Lymphocytes/Live cells/T cells/NKT-/MAIT-/Vab/CD8+ T cells/Central memory | Freq. of Parent</t>
  </si>
  <si>
    <t>FSC-A, Time subset/Single Cells/Lymphocytes/Live cells/T cells/NKT-/MAIT-/Vab/CD8+ T cells/Effector memory | Freq. of Parent</t>
  </si>
  <si>
    <t>FSC-A, Time subset/Single Cells/Lymphocytes/Live cells/T cells/NKT-/MAIT-/Vab/CD8+ T cells/EMRA | Freq. of Parent</t>
  </si>
  <si>
    <t>FSC-A, Time subset/Single Cells/Lymphocytes/Live cells/T cells/NKT-/MAIT-/Vab/CD8+ T cells/Naive | Freq. of Parent</t>
  </si>
  <si>
    <t>Single cells/Lymphocytes/Live cells/B cells | Freq. of Parent</t>
  </si>
  <si>
    <t>Single cells/Lymphocytes/Live cells/B cells/CD21lo | Freq. of Parent</t>
  </si>
  <si>
    <t>Single cells/Lymphocytes/Live cells/B cells/B cells/Memory | Freq. of Grandparent</t>
  </si>
  <si>
    <t>Single cells/Lymphocytes/Live cells/B cells/B cells/Naive | Freq. of Grandparent</t>
  </si>
  <si>
    <t>Single cells/Lymphocytes/Live cells/B cells/B cells/Transitional | Freq. of Grandparent</t>
  </si>
  <si>
    <t>Single cells/Lymphocytes/Live cells/B cells/B cells/Memory/IgA+ | Freq. of Parent</t>
  </si>
  <si>
    <t>Single cells/Lymphocytes/Live cells/B cells/B cells/Memory/IgG+ | Freq. of Parent</t>
  </si>
  <si>
    <t>Single cells/Lymphocytes/Live cells/B cells/B cells/Naive/IgA+ | Freq. of Parent</t>
  </si>
  <si>
    <t>Single cells/Lymphocytes/Live cells/B cells/B cells/Naive/IgG+ | Freq. of Parent</t>
  </si>
  <si>
    <t>Single cells/Lymphocytes/Live cells/B cells/B cells/Transitional/IgA+ | Freq. of Parent</t>
  </si>
  <si>
    <t>Single cells/Lymphocytes/Live cells/B cells/B cells/Transitional/IgG+ | Freq. of Parent</t>
  </si>
  <si>
    <t>Single cells/Lymphocytes/Live cells/B cells/B cells/Naive/Q2: IgM_APC-R700+ , IgD_BV480+ | Freq. of Parent</t>
  </si>
  <si>
    <t>Single cells/Lymphocytes/Live cells/B cells/B cells/Naive/Q1: IgM_APC-R700- , IgD_BV480+ | Freq. of Parent</t>
  </si>
  <si>
    <t>Single cells/Lymphocytes/Live cells/B cells/B cells/Naive/Q4: IgM_APC-R700- , IgD_BV480- | Freq. of Parent</t>
  </si>
  <si>
    <t>Single cells/Lymphocytes/Live cells/B cells/B cells/Transitional/Q2: IgM_APC-R700+ , IgD_BV480+ | Freq. of Parent</t>
  </si>
  <si>
    <t>Single cells/Lymphocytes/Live cells/B cells/B cells/Transitional/Q1: IgM_APC-R700- , IgD_BV480+ | Freq. of Parent</t>
  </si>
  <si>
    <t>Single cells/Lymphocytes/Live cells/B cells/B cells/Memory/Q2: IgM_APC-R700+ , IgD_BV480+ | Freq. of Parent</t>
  </si>
  <si>
    <t>Single cells/Lymphocytes/Live cells/B cells/B cells/Memory/Q3: IgM_APC-R700+ , IgD_BV480- | Freq. of Parent</t>
  </si>
  <si>
    <t>Single cells/Lymphocytes/Live cells/B cells/B cells/Memory/Q4: IgM_APC-R700- , IgD_BV480- | Freq. of Parent</t>
  </si>
  <si>
    <t>Single cells/Lymphocytes/Live cells/T cells/NKT -/MAIT-/Vab/CD8+/Naive /CD57+ | Freq. of Parent</t>
  </si>
  <si>
    <t>Single cells/Lymphocytes/Live cells/T cells/NKT -/MAIT-/Vab/CD8+/Central memory/CD57+ | Freq. of Parent</t>
  </si>
  <si>
    <t>Single cells/Lymphocytes/Live cells/T cells/NKT -/MAIT-/Vab/CD8+/Effector memory/CD57+ | Freq. of Parent</t>
  </si>
  <si>
    <t>Single cells/Lymphocytes/Live cells/T cells/NKT -/MAIT-/Vab/CD8+/EMRA/CD57+ | Freq. of Parent</t>
  </si>
  <si>
    <t>Single cells/Lymphocytes/Live cells/T cells/NKT -/MAIT-/Vab/CD4+/Non Treg/Naive 2/CD57+ | Freq. of Parent</t>
  </si>
  <si>
    <t>Single cells/Lymphocytes/Live cells/T cells/NKT -/MAIT-/Vab/CD4+/Non Treg/Central memory/CD57+ | Freq. of Parent</t>
  </si>
  <si>
    <t>Single cells/Lymphocytes/Live cells/T cells/NKT -/MAIT-/Vab/CD4+/Non Treg/Effector memory/CD57+ | Freq. of Parent</t>
  </si>
  <si>
    <t>Single cells/Lymphocytes/Live cells/T cells/NKT -/MAIT-/Vab/CD4+/Non Treg/Naive | Geometric Mean (PD1_BUV661)</t>
  </si>
  <si>
    <t>Single cells/Lymphocytes/Live cells/T cells/NKT -/MAIT-/Vab/CD4+/Non Treg/Memory | Geometric Mean (PD1_BUV661)</t>
  </si>
  <si>
    <t>Single cells/Lymphocytes/Live cells/T cells/NKT -/MAIT-/Vab/CD4+/Non Treg/Tfh | Geometric Mean (PD1_BUV661)</t>
  </si>
  <si>
    <t>Single cells/Lymphocytes/Live cells/T cells/NKT -/MAIT-/Vab/CD8+/Central memory | Geometric Mean (PD1_BUV661)</t>
  </si>
  <si>
    <t>Single cells/Lymphocytes/Live cells/T cells/NKT -/MAIT-/Vab/CD8+/Effector memory | Geometric Mean (PD1_BUV661)</t>
  </si>
  <si>
    <t>Single cells/Lymphocytes/Live cells/T cells/NKT -/MAIT-/Vab/CD8+/EMRA | Geometric Mean (PD1_BUV661)</t>
  </si>
  <si>
    <t>Single cells/Lymphocytes/Live cells/T cells/NKT -/MAIT-/Vab/CD8+/Naive  | Geometric Mean (PD1_BUV661)</t>
  </si>
  <si>
    <t>homogeneous &gt;1:1280</t>
  </si>
  <si>
    <t>Present</t>
  </si>
  <si>
    <t>Not Present</t>
  </si>
  <si>
    <t>Yes</t>
  </si>
  <si>
    <t>No</t>
  </si>
  <si>
    <t>12/2015-06/2016</t>
  </si>
  <si>
    <t>2019-06/2021</t>
  </si>
  <si>
    <t>Methylprednisolone</t>
  </si>
  <si>
    <t>3g</t>
  </si>
  <si>
    <t>Unchecked</t>
  </si>
  <si>
    <t>Never</t>
  </si>
  <si>
    <t>2 Pfizer 1 Moderna</t>
  </si>
  <si>
    <t>&gt;90</t>
  </si>
  <si>
    <t>RIA</t>
  </si>
  <si>
    <t>From 10 since 30/6/2002</t>
  </si>
  <si>
    <t>Bactrim DS 3x/weekly  Calcium  Vitamin D</t>
  </si>
  <si>
    <t>50 from Jan 2019 weaned till June 2020</t>
  </si>
  <si>
    <t xml:space="preserve">Jan 2018-July 2018; </t>
  </si>
  <si>
    <t>April 2018-November 2018</t>
  </si>
  <si>
    <t>4g</t>
  </si>
  <si>
    <t>January 2020 - May 2020</t>
  </si>
  <si>
    <t>Iron deficiency anaemia</t>
  </si>
  <si>
    <t>indeterminate</t>
  </si>
  <si>
    <t>3 Pfizer</t>
  </si>
  <si>
    <t>ELISA</t>
  </si>
  <si>
    <t>Ig levels from 6/4/2018  Urine 24hr protein excretion 0.34g/day</t>
  </si>
  <si>
    <t>speckled 1:640</t>
  </si>
  <si>
    <t>Bactrim DS 3 x weekly  Perindopril 2.5 mg daily</t>
  </si>
  <si>
    <t>Oct 2016-Oct 2017</t>
  </si>
  <si>
    <t>Oct 2017-Aug 2021</t>
  </si>
  <si>
    <t>6g</t>
  </si>
  <si>
    <t>2016 and 2020</t>
  </si>
  <si>
    <t>February 2016-September 2016</t>
  </si>
  <si>
    <t>January 2017-January 2021</t>
  </si>
  <si>
    <t>2g</t>
  </si>
  <si>
    <t>Spontaneous Rupture (R) Achilles tendon 2017</t>
  </si>
  <si>
    <t>Episode 1 - February 2019  Episode 2 - June 2021  Episode 3 - August 2021  Episode 4 - December 2021  Episode 5 - May 2022</t>
  </si>
  <si>
    <t>Candida Varicella COVID Influenza</t>
  </si>
  <si>
    <t>homogeneous 1:40; speckled 1:160</t>
  </si>
  <si>
    <t>Episode 1 - March 2022</t>
  </si>
  <si>
    <t>COVID</t>
  </si>
  <si>
    <t>1:2560 homogeneous</t>
  </si>
  <si>
    <t xml:space="preserve">Vitamin D supplementation.  Fish oil alternate days  Nexium prn  Aspirin 100mg daily   Lipitor 80mg daily   Eliquis </t>
  </si>
  <si>
    <t>Interstitial lung disease</t>
  </si>
  <si>
    <t>Checked</t>
  </si>
  <si>
    <t>7 total:  1. Vitamin D deficiency  2. Hypercholesterolaemia  3. Patent foramen ovale with left to right shunt  4. Prev pulmonary TB 1974 (treated)  5. Chronic sinus tachycardia  6. ILD - NSIP pattern  7. CVA and thrombolysis 2021; TIA 2020</t>
  </si>
  <si>
    <t>streptomycin, isoniazid, pyrazinamide for 12 months (1974)</t>
  </si>
  <si>
    <t>Episode 1 - 12/2021 LRTI</t>
  </si>
  <si>
    <t>1 AZ 3 Pfizer</t>
  </si>
  <si>
    <t>speckled 1:640; nuclear membrane &gt;1:2560</t>
  </si>
  <si>
    <t>Thyroxine 150ug M-F, 100ug S/S</t>
  </si>
  <si>
    <t>50mg</t>
  </si>
  <si>
    <t>50mg (2002-2003) weaned; 25mg (2004-2005); 25mg (3 months 2018), 15mg (2020-2021)</t>
  </si>
  <si>
    <t>2mg/day</t>
  </si>
  <si>
    <t>Jan 2021-March 2021</t>
  </si>
  <si>
    <t>Autoimmune hepatitis and PBC overlap  Widespread lymphadenopathy - LN biopsy right axillary nodes 2019 demonstrating reactive follicular hyperplasia with focal areas of progressive transformation of germinal centers  Knee OA  Hashimoto's thyroiditis  Peanut anaphylaxis  Cholecystectomy</t>
  </si>
  <si>
    <t>2 Pfizer</t>
  </si>
  <si>
    <t>&lt;13</t>
  </si>
  <si>
    <t>homogeneous 1:40; speckled 1:640 (Sm, RNP, SSA Ro60)</t>
  </si>
  <si>
    <t>folic acid 10mg weekly</t>
  </si>
  <si>
    <t>45-5mg</t>
  </si>
  <si>
    <t>Nov 2010- 5mg Dec 2012-5mg 2014</t>
  </si>
  <si>
    <t>2011-2014 (down to 200mg)</t>
  </si>
  <si>
    <t>Episode 1 - 2019  Episode 2 - 05/2022</t>
  </si>
  <si>
    <t>&lt;0.6</t>
  </si>
  <si>
    <t>homogeneous 1&gt;1280</t>
  </si>
  <si>
    <t>Amoxicillin or fluconazole allergy  GORD  Recurrent vaginal thrush</t>
  </si>
  <si>
    <t>Previous</t>
  </si>
  <si>
    <t>Episode 1 - 04/2021  Episode 2 - 07/2021  Episode 3 - 03/2022  Episode 4 - 08/2022</t>
  </si>
  <si>
    <t>E coli</t>
  </si>
  <si>
    <t>1:320 homogeneous</t>
  </si>
  <si>
    <t>Vitamin D 1000units, OCP</t>
  </si>
  <si>
    <t>2  Iron deficiency anaemia (previously received iron infusion)   Vitamin D deficiency.</t>
  </si>
  <si>
    <t>Episode 1 -  01/2022</t>
  </si>
  <si>
    <t>3 Pfizer, 1 Novavax</t>
  </si>
  <si>
    <t>Igs done 2/7/2014</t>
  </si>
  <si>
    <t>speckled 1:160 MSA 1:160</t>
  </si>
  <si>
    <t>Thyroxine 75mcg, Paroxetine, Warfarin</t>
  </si>
  <si>
    <t>1981-02/2021</t>
  </si>
  <si>
    <t>Emphysema</t>
  </si>
  <si>
    <t xml:space="preserve">10 total  1.Mitral valve stenosis with valve replacement, on warfarin- likely cause of respiratory presentation several years ago- not c/w lupus lung  2.Hashimoto's thyroiditis, on thyroid replacement.  3.Emphysema, no longer smoking.  4.Anxiety.  5.GORD.  6.OSA.  7.Vitamin D deficiency.  8.Hypercholesterolaemia.  9. In Darwin had US: Fatty Liver  10. OA - total hip replacement Dec 2021 - refractured femur </t>
  </si>
  <si>
    <t>09/2022 - URTI  01/2022 - COVID  12/2019 - URTI (oral abx)</t>
  </si>
  <si>
    <t>4 Pfizer</t>
  </si>
  <si>
    <t>Foxp3+</t>
  </si>
  <si>
    <t>Treg</t>
  </si>
  <si>
    <t>CD25+ foxp3+ as % of CD4</t>
  </si>
  <si>
    <t>Foxp3+ Treg as % of CD4</t>
  </si>
  <si>
    <t>Tbet of Non Tregs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</si>
</sst>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2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50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horizontal="left"/>
    </xf>
    <xf numFmtId="1" fontId="0" fillId="0" borderId="0" xfId="0" applyNumberFormat="1"/>
    <xf numFmtId="1" fontId="4" fillId="0" borderId="0" xfId="0" applyNumberFormat="1" applyFont="1"/>
    <xf numFmtId="1" fontId="5" fillId="5" borderId="0" xfId="0" applyNumberFormat="1" applyFont="1" applyFill="1"/>
    <xf numFmtId="1" fontId="5" fillId="6" borderId="0" xfId="0" applyNumberFormat="1" applyFont="1" applyFill="1"/>
    <xf numFmtId="1" fontId="5" fillId="0" borderId="0" xfId="0" applyNumberFormat="1" applyFont="1"/>
    <xf numFmtId="0" fontId="4" fillId="0" borderId="0" xfId="0" applyFont="1"/>
    <xf numFmtId="1" fontId="6" fillId="0" borderId="0" xfId="0" applyNumberFormat="1" applyFont="1"/>
    <xf numFmtId="0" fontId="1" fillId="0" borderId="0" xfId="0" applyFont="1"/>
    <xf numFmtId="1" fontId="0" fillId="2" borderId="0" xfId="0" applyNumberFormat="1" applyFill="1"/>
    <xf numFmtId="17" fontId="0" fillId="2" borderId="0" xfId="0" applyNumberFormat="1" applyFill="1"/>
    <xf numFmtId="16" fontId="0" fillId="2" borderId="0" xfId="0" applyNumberFormat="1" applyFill="1"/>
    <xf numFmtId="0" fontId="0" fillId="2" borderId="0" xfId="0" applyFill="1" applyAlignment="1">
      <alignment horizontal="center"/>
    </xf>
    <xf numFmtId="11" fontId="0" fillId="2" borderId="0" xfId="0" applyNumberFormat="1" applyFill="1"/>
    <xf numFmtId="1" fontId="0" fillId="3" borderId="0" xfId="0" applyNumberFormat="1" applyFill="1"/>
    <xf numFmtId="17" fontId="0" fillId="3" borderId="0" xfId="0" applyNumberFormat="1" applyFill="1"/>
    <xf numFmtId="11" fontId="0" fillId="0" borderId="0" xfId="0" applyNumberFormat="1"/>
    <xf numFmtId="17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7" borderId="0" xfId="0" applyFill="1"/>
    <xf numFmtId="11" fontId="2" fillId="0" borderId="0" xfId="0" applyNumberFormat="1" applyFont="1"/>
    <xf numFmtId="0" fontId="0" fillId="8" borderId="0" xfId="0" applyFill="1"/>
    <xf numFmtId="0" fontId="3" fillId="0" borderId="0" xfId="0" applyFont="1"/>
    <xf numFmtId="0" fontId="7" fillId="0" borderId="0" xfId="1"/>
    <xf numFmtId="0" fontId="7" fillId="3" borderId="0" xfId="1" applyFill="1"/>
    <xf numFmtId="0" fontId="2" fillId="0" borderId="0" xfId="1" applyFont="1"/>
    <xf numFmtId="0" fontId="7" fillId="2" borderId="0" xfId="1" applyFill="1"/>
    <xf numFmtId="11" fontId="7" fillId="2" borderId="0" xfId="1" applyNumberFormat="1" applyFill="1"/>
    <xf numFmtId="11" fontId="7" fillId="3" borderId="0" xfId="1" applyNumberFormat="1" applyFill="1"/>
    <xf numFmtId="11" fontId="7" fillId="0" borderId="0" xfId="1" applyNumberFormat="1"/>
    <xf numFmtId="0" fontId="7" fillId="9" borderId="0" xfId="1" applyFill="1"/>
    <xf numFmtId="11" fontId="2" fillId="0" borderId="0" xfId="1" applyNumberFormat="1" applyFont="1"/>
    <xf numFmtId="0" fontId="7" fillId="8" borderId="0" xfId="1" applyFill="1"/>
    <xf numFmtId="165" fontId="7" fillId="3" borderId="0" xfId="1" applyNumberFormat="1" applyFill="1"/>
    <xf numFmtId="0" fontId="7" fillId="4" borderId="0" xfId="1" applyFill="1"/>
    <xf numFmtId="0" fontId="2" fillId="10" borderId="0" xfId="1" applyFont="1" applyFill="1"/>
    <xf numFmtId="0" fontId="7" fillId="7" borderId="0" xfId="1" applyFill="1"/>
    <xf numFmtId="0" fontId="3" fillId="0" borderId="0" xfId="1" applyFont="1"/>
    <xf numFmtId="0" fontId="8" fillId="0" borderId="0" xfId="1" applyFont="1" applyAlignment="1">
      <alignment horizontal="left"/>
    </xf>
    <xf numFmtId="0" fontId="7" fillId="0" borderId="0" xfId="1" applyFill="1"/>
    <xf numFmtId="0" fontId="9" fillId="0" borderId="0" xfId="1" applyFont="1"/>
    <xf numFmtId="0" fontId="9" fillId="0" borderId="0" xfId="1" applyFont="1" applyFill="1"/>
    <xf numFmtId="1" fontId="1" fillId="0" borderId="0" xfId="0" applyNumberFormat="1" applyFont="1"/>
    <xf numFmtId="0" fontId="10" fillId="0" borderId="0" xfId="1" applyFont="1" applyAlignment="1">
      <alignment horizontal="left"/>
    </xf>
    <xf numFmtId="0" fontId="11" fillId="0" borderId="0" xfId="1" applyFont="1"/>
  </cellXfs>
  <cellStyles count="2">
    <cellStyle name="Normal" xfId="0" builtinId="0"/>
    <cellStyle name="Normal 2" xfId="1" xr:uid="{D1F1294D-6FF3-4C63-BFDB-830B864388F4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74103-7FE2-4780-A4B1-55F3170E5EF1}">
  <dimension ref="A1:F126"/>
  <sheetViews>
    <sheetView workbookViewId="0">
      <selection activeCell="J16" sqref="J16"/>
    </sheetView>
  </sheetViews>
  <sheetFormatPr defaultColWidth="11.73046875" defaultRowHeight="15.75" x14ac:dyDescent="0.5"/>
  <cols>
    <col min="1" max="1" width="4.86328125" style="28" bestFit="1" customWidth="1"/>
    <col min="2" max="2" width="9.06640625" style="28" bestFit="1" customWidth="1"/>
    <col min="3" max="3" width="6.53125" style="28" bestFit="1" customWidth="1"/>
    <col min="4" max="4" width="25.73046875" style="28" bestFit="1" customWidth="1"/>
    <col min="5" max="5" width="23.86328125" style="28" bestFit="1" customWidth="1"/>
    <col min="6" max="6" width="17.59765625" style="28" bestFit="1" customWidth="1"/>
    <col min="7" max="16384" width="11.73046875" style="28"/>
  </cols>
  <sheetData>
    <row r="1" spans="1:6" x14ac:dyDescent="0.5">
      <c r="A1" s="49" t="s">
        <v>67</v>
      </c>
      <c r="B1" s="30" t="s">
        <v>421</v>
      </c>
      <c r="C1" s="30" t="s">
        <v>422</v>
      </c>
      <c r="D1" s="30" t="s">
        <v>423</v>
      </c>
      <c r="E1" s="30" t="s">
        <v>424</v>
      </c>
      <c r="F1" s="30" t="s">
        <v>425</v>
      </c>
    </row>
    <row r="2" spans="1:6" x14ac:dyDescent="0.5">
      <c r="A2" s="43">
        <v>153</v>
      </c>
      <c r="B2" s="30">
        <v>8.3000000000000007</v>
      </c>
      <c r="C2" s="30">
        <v>8.7100000000000009</v>
      </c>
      <c r="D2" s="30">
        <v>60.7</v>
      </c>
      <c r="E2" s="30">
        <v>45.2</v>
      </c>
      <c r="F2" s="30">
        <v>3.91</v>
      </c>
    </row>
    <row r="3" spans="1:6" x14ac:dyDescent="0.5">
      <c r="A3" s="43">
        <v>181</v>
      </c>
      <c r="B3" s="28">
        <v>12.8</v>
      </c>
      <c r="C3" s="28">
        <v>6.38</v>
      </c>
      <c r="D3" s="28">
        <v>5.16</v>
      </c>
      <c r="E3" s="28">
        <v>5.76</v>
      </c>
      <c r="F3" s="28">
        <v>5.86</v>
      </c>
    </row>
    <row r="4" spans="1:6" x14ac:dyDescent="0.5">
      <c r="A4" s="43">
        <v>176</v>
      </c>
      <c r="B4" s="28">
        <v>6.88</v>
      </c>
      <c r="C4" s="28">
        <v>5.81</v>
      </c>
      <c r="D4" s="28">
        <v>3.93</v>
      </c>
      <c r="E4" s="28">
        <v>3.55</v>
      </c>
      <c r="F4" s="28">
        <v>16.600000000000001</v>
      </c>
    </row>
    <row r="5" spans="1:6" x14ac:dyDescent="0.5">
      <c r="A5" s="43">
        <v>139</v>
      </c>
      <c r="B5" s="30">
        <v>11.7</v>
      </c>
      <c r="C5" s="30">
        <v>15.6</v>
      </c>
      <c r="D5" s="30">
        <v>72.599999999999994</v>
      </c>
      <c r="E5" s="30">
        <v>67.599999999999994</v>
      </c>
      <c r="F5" s="30">
        <v>1.32</v>
      </c>
    </row>
    <row r="6" spans="1:6" x14ac:dyDescent="0.5">
      <c r="A6" s="43">
        <v>246</v>
      </c>
      <c r="B6" s="30">
        <v>3.22</v>
      </c>
      <c r="C6" s="30">
        <v>6.83</v>
      </c>
      <c r="D6" s="30">
        <v>73.400000000000006</v>
      </c>
      <c r="E6" s="30">
        <v>26.4</v>
      </c>
      <c r="F6" s="30">
        <v>6.5000000000000002E-2</v>
      </c>
    </row>
    <row r="7" spans="1:6" x14ac:dyDescent="0.5">
      <c r="A7" s="43">
        <v>203</v>
      </c>
      <c r="B7" s="30">
        <v>3.63</v>
      </c>
      <c r="C7" s="30">
        <v>9.33</v>
      </c>
      <c r="D7" s="30">
        <v>84.2</v>
      </c>
      <c r="E7" s="30">
        <v>29.9</v>
      </c>
      <c r="F7" s="30">
        <v>1.1599999999999999</v>
      </c>
    </row>
    <row r="8" spans="1:6" x14ac:dyDescent="0.5">
      <c r="A8" s="43">
        <v>173</v>
      </c>
      <c r="B8" s="28">
        <v>25.1</v>
      </c>
      <c r="C8" s="28">
        <v>14.4</v>
      </c>
      <c r="D8" s="28">
        <v>13.2</v>
      </c>
      <c r="E8" s="28">
        <v>11.8</v>
      </c>
      <c r="F8" s="28">
        <v>2.1</v>
      </c>
    </row>
    <row r="9" spans="1:6" x14ac:dyDescent="0.5">
      <c r="A9" s="43">
        <v>165</v>
      </c>
      <c r="B9" s="30">
        <v>15.4</v>
      </c>
      <c r="C9" s="30">
        <v>6.61</v>
      </c>
      <c r="D9" s="30">
        <v>50.4</v>
      </c>
      <c r="E9" s="30">
        <v>71.099999999999994</v>
      </c>
      <c r="F9" s="30">
        <v>17.5</v>
      </c>
    </row>
    <row r="10" spans="1:6" x14ac:dyDescent="0.5">
      <c r="A10" s="43">
        <v>124</v>
      </c>
      <c r="B10" s="30">
        <v>2.93</v>
      </c>
      <c r="C10" s="30">
        <v>6.93</v>
      </c>
      <c r="D10" s="30">
        <v>77.599999999999994</v>
      </c>
      <c r="E10" s="30">
        <v>23.9</v>
      </c>
      <c r="F10" s="30">
        <v>4.17</v>
      </c>
    </row>
    <row r="11" spans="1:6" x14ac:dyDescent="0.5">
      <c r="A11" s="43">
        <v>169</v>
      </c>
      <c r="B11" s="30">
        <v>5.04</v>
      </c>
      <c r="C11" s="30">
        <v>13.3</v>
      </c>
      <c r="D11" s="30">
        <v>69.7</v>
      </c>
      <c r="E11" s="30">
        <v>23.5</v>
      </c>
      <c r="F11" s="30">
        <v>1.35</v>
      </c>
    </row>
    <row r="12" spans="1:6" x14ac:dyDescent="0.5">
      <c r="A12" s="43">
        <v>142</v>
      </c>
      <c r="B12" s="28">
        <v>18.7</v>
      </c>
      <c r="C12" s="28">
        <v>7.61</v>
      </c>
      <c r="D12" s="28">
        <v>9.9700000000000006</v>
      </c>
      <c r="E12" s="28">
        <v>5.66</v>
      </c>
      <c r="F12" s="28">
        <v>5.89</v>
      </c>
    </row>
    <row r="13" spans="1:6" x14ac:dyDescent="0.5">
      <c r="A13" s="43">
        <v>198</v>
      </c>
      <c r="B13" s="30">
        <v>8.6999999999999993</v>
      </c>
      <c r="C13" s="30">
        <v>7.25</v>
      </c>
      <c r="D13" s="30">
        <v>84.2</v>
      </c>
      <c r="E13" s="30">
        <v>77.7</v>
      </c>
      <c r="F13" s="30">
        <v>5.23</v>
      </c>
    </row>
    <row r="14" spans="1:6" x14ac:dyDescent="0.5">
      <c r="A14" s="43">
        <v>250</v>
      </c>
      <c r="B14" s="30">
        <v>2.4</v>
      </c>
      <c r="C14" s="30">
        <v>8.33</v>
      </c>
      <c r="D14" s="30">
        <v>75.900000000000006</v>
      </c>
      <c r="E14" s="30">
        <v>19.100000000000001</v>
      </c>
      <c r="F14" s="30">
        <v>6.2E-2</v>
      </c>
    </row>
    <row r="15" spans="1:6" x14ac:dyDescent="0.5">
      <c r="A15" s="43">
        <v>117</v>
      </c>
      <c r="B15" s="30">
        <v>1.88</v>
      </c>
      <c r="C15" s="30">
        <v>4.88</v>
      </c>
      <c r="D15" s="30">
        <v>80.900000000000006</v>
      </c>
      <c r="E15" s="30">
        <v>25.2</v>
      </c>
      <c r="F15" s="30">
        <v>8.59</v>
      </c>
    </row>
    <row r="16" spans="1:6" x14ac:dyDescent="0.5">
      <c r="A16" s="43">
        <v>117</v>
      </c>
      <c r="B16" s="30">
        <v>7.27</v>
      </c>
      <c r="C16" s="30">
        <v>6.98</v>
      </c>
      <c r="D16" s="30">
        <v>73.400000000000006</v>
      </c>
      <c r="E16" s="30">
        <v>65.5</v>
      </c>
      <c r="F16" s="30">
        <v>0.36</v>
      </c>
    </row>
    <row r="17" spans="1:6" x14ac:dyDescent="0.5">
      <c r="A17" s="43">
        <v>135</v>
      </c>
      <c r="B17" s="30">
        <v>6.7</v>
      </c>
      <c r="C17" s="30">
        <v>7.71</v>
      </c>
      <c r="D17" s="30">
        <v>68.599999999999994</v>
      </c>
      <c r="E17" s="30">
        <v>49.6</v>
      </c>
      <c r="F17" s="30">
        <v>4.8499999999999996</v>
      </c>
    </row>
    <row r="18" spans="1:6" x14ac:dyDescent="0.5">
      <c r="A18" s="43">
        <v>199</v>
      </c>
      <c r="B18" s="30">
        <v>6.42</v>
      </c>
      <c r="C18" s="30">
        <v>7.52</v>
      </c>
      <c r="D18" s="30">
        <v>79.2</v>
      </c>
      <c r="E18" s="30">
        <v>64.5</v>
      </c>
      <c r="F18" s="30">
        <v>2.44</v>
      </c>
    </row>
    <row r="19" spans="1:6" x14ac:dyDescent="0.5">
      <c r="A19" s="43">
        <v>160</v>
      </c>
      <c r="B19" s="30">
        <v>7.43</v>
      </c>
      <c r="C19" s="30">
        <v>4.68</v>
      </c>
      <c r="D19" s="30">
        <v>75</v>
      </c>
      <c r="E19" s="30">
        <v>77.7</v>
      </c>
      <c r="F19" s="30">
        <v>7.98</v>
      </c>
    </row>
    <row r="20" spans="1:6" x14ac:dyDescent="0.5">
      <c r="A20" s="43">
        <v>182</v>
      </c>
      <c r="B20" s="28">
        <v>11.6</v>
      </c>
      <c r="C20" s="28">
        <v>4.51</v>
      </c>
      <c r="D20" s="28">
        <v>4.0999999999999996</v>
      </c>
      <c r="E20" s="28">
        <v>3.88</v>
      </c>
      <c r="F20" s="28">
        <v>6.73</v>
      </c>
    </row>
    <row r="21" spans="1:6" x14ac:dyDescent="0.5">
      <c r="A21" s="43">
        <v>200</v>
      </c>
      <c r="B21" s="30">
        <v>2.6</v>
      </c>
      <c r="C21" s="30">
        <v>5.29</v>
      </c>
      <c r="D21" s="30">
        <v>72.2</v>
      </c>
      <c r="E21" s="30">
        <v>31.2</v>
      </c>
      <c r="F21" s="30">
        <v>0.1</v>
      </c>
    </row>
    <row r="22" spans="1:6" x14ac:dyDescent="0.5">
      <c r="A22" s="43">
        <v>171</v>
      </c>
      <c r="B22" s="30">
        <v>8.85</v>
      </c>
      <c r="C22" s="30">
        <v>14.5</v>
      </c>
      <c r="D22" s="30">
        <v>79.2</v>
      </c>
      <c r="E22" s="30">
        <v>40.299999999999997</v>
      </c>
      <c r="F22" s="30">
        <v>3.31</v>
      </c>
    </row>
    <row r="23" spans="1:6" x14ac:dyDescent="0.5">
      <c r="A23" s="43">
        <v>108</v>
      </c>
      <c r="B23" s="30">
        <v>17.399999999999999</v>
      </c>
      <c r="C23" s="30">
        <v>12.5</v>
      </c>
      <c r="D23" s="30">
        <v>80</v>
      </c>
      <c r="E23" s="30">
        <v>75.3</v>
      </c>
      <c r="F23" s="30">
        <v>4.72</v>
      </c>
    </row>
    <row r="24" spans="1:6" x14ac:dyDescent="0.5">
      <c r="A24" s="43">
        <v>151</v>
      </c>
      <c r="B24" s="28">
        <v>8.23</v>
      </c>
      <c r="C24" s="28">
        <v>11</v>
      </c>
      <c r="D24" s="28">
        <v>5.34</v>
      </c>
      <c r="E24" s="28">
        <v>5.36</v>
      </c>
      <c r="F24" s="28">
        <v>7.15</v>
      </c>
    </row>
    <row r="25" spans="1:6" x14ac:dyDescent="0.5">
      <c r="A25" s="43">
        <v>204</v>
      </c>
      <c r="B25" s="30">
        <v>5.6</v>
      </c>
      <c r="C25" s="30">
        <v>6.16</v>
      </c>
      <c r="D25" s="30">
        <v>70.400000000000006</v>
      </c>
      <c r="E25" s="30">
        <v>52.8</v>
      </c>
      <c r="F25" s="30">
        <v>0.14000000000000001</v>
      </c>
    </row>
    <row r="26" spans="1:6" x14ac:dyDescent="0.5">
      <c r="A26" s="43">
        <v>114</v>
      </c>
      <c r="B26" s="30">
        <v>11.7</v>
      </c>
      <c r="C26" s="30">
        <v>10.9</v>
      </c>
      <c r="D26" s="30">
        <v>73.3</v>
      </c>
      <c r="E26" s="30">
        <v>64.900000000000006</v>
      </c>
      <c r="F26" s="30">
        <v>0.8</v>
      </c>
    </row>
    <row r="27" spans="1:6" x14ac:dyDescent="0.5">
      <c r="A27" s="43">
        <v>104</v>
      </c>
      <c r="B27" s="30">
        <v>10.8</v>
      </c>
      <c r="C27" s="30">
        <v>4.4000000000000004</v>
      </c>
      <c r="D27" s="30">
        <v>39.799999999999997</v>
      </c>
      <c r="E27" s="30">
        <v>70.900000000000006</v>
      </c>
      <c r="F27" s="30">
        <v>43.3</v>
      </c>
    </row>
    <row r="28" spans="1:6" x14ac:dyDescent="0.5">
      <c r="A28" s="43">
        <v>206</v>
      </c>
      <c r="B28" s="30">
        <v>7.33</v>
      </c>
      <c r="C28" s="30">
        <v>7.25</v>
      </c>
      <c r="D28" s="30">
        <v>81.3</v>
      </c>
      <c r="E28" s="30">
        <v>65.5</v>
      </c>
      <c r="F28" s="30">
        <v>0.27</v>
      </c>
    </row>
    <row r="29" spans="1:6" x14ac:dyDescent="0.5">
      <c r="A29" s="43">
        <v>116</v>
      </c>
      <c r="B29" s="30">
        <v>7.52</v>
      </c>
      <c r="C29" s="30">
        <v>12</v>
      </c>
      <c r="D29" s="30">
        <v>80.2</v>
      </c>
      <c r="E29" s="30">
        <v>47.4</v>
      </c>
      <c r="F29" s="30">
        <v>0.65</v>
      </c>
    </row>
    <row r="30" spans="1:6" x14ac:dyDescent="0.5">
      <c r="A30" s="43">
        <v>159</v>
      </c>
      <c r="B30" s="30">
        <v>11.4</v>
      </c>
      <c r="C30" s="30">
        <v>8.26</v>
      </c>
      <c r="D30" s="30">
        <v>64.2</v>
      </c>
      <c r="E30" s="30">
        <v>65</v>
      </c>
      <c r="F30" s="30">
        <v>6.45</v>
      </c>
    </row>
    <row r="31" spans="1:6" x14ac:dyDescent="0.5">
      <c r="A31" s="43">
        <v>119</v>
      </c>
      <c r="B31" s="30">
        <v>7.61</v>
      </c>
      <c r="C31" s="30">
        <v>3.43</v>
      </c>
      <c r="D31" s="30">
        <v>70.5</v>
      </c>
      <c r="E31" s="30">
        <v>83.8</v>
      </c>
      <c r="F31" s="30">
        <v>0.26</v>
      </c>
    </row>
    <row r="32" spans="1:6" x14ac:dyDescent="0.5">
      <c r="A32" s="43">
        <v>208</v>
      </c>
      <c r="B32" s="30">
        <v>1.94</v>
      </c>
      <c r="C32" s="30">
        <v>5.72</v>
      </c>
      <c r="D32" s="30">
        <v>57</v>
      </c>
      <c r="E32" s="30">
        <v>14.5</v>
      </c>
      <c r="F32" s="30">
        <v>0.32</v>
      </c>
    </row>
    <row r="33" spans="1:6" x14ac:dyDescent="0.5">
      <c r="A33" s="43">
        <v>209</v>
      </c>
      <c r="B33" s="28">
        <v>11.5</v>
      </c>
      <c r="C33" s="28">
        <v>4.01</v>
      </c>
      <c r="D33" s="28">
        <v>5.68</v>
      </c>
      <c r="E33" s="28">
        <v>3.41</v>
      </c>
      <c r="F33" s="28">
        <v>0.23</v>
      </c>
    </row>
    <row r="34" spans="1:6" x14ac:dyDescent="0.5">
      <c r="A34" s="43">
        <v>129</v>
      </c>
      <c r="B34" s="30">
        <v>5.3</v>
      </c>
      <c r="C34" s="30">
        <v>8.65</v>
      </c>
      <c r="D34" s="30">
        <v>64.400000000000006</v>
      </c>
      <c r="E34" s="30">
        <v>30.7</v>
      </c>
      <c r="F34" s="30">
        <v>0.47</v>
      </c>
    </row>
    <row r="35" spans="1:6" x14ac:dyDescent="0.5">
      <c r="A35" s="43">
        <v>112</v>
      </c>
      <c r="B35" s="30">
        <v>7.01</v>
      </c>
      <c r="C35" s="30">
        <v>4.67</v>
      </c>
      <c r="D35" s="30">
        <v>62.7</v>
      </c>
      <c r="E35" s="30">
        <v>56.5</v>
      </c>
      <c r="F35" s="30">
        <v>8.3800000000000008</v>
      </c>
    </row>
    <row r="36" spans="1:6" x14ac:dyDescent="0.5">
      <c r="A36" s="43">
        <v>136</v>
      </c>
      <c r="B36" s="30">
        <v>6.11</v>
      </c>
      <c r="C36" s="30">
        <v>5.69</v>
      </c>
      <c r="D36" s="30">
        <v>79.5</v>
      </c>
      <c r="E36" s="30">
        <v>63.1</v>
      </c>
      <c r="F36" s="30">
        <v>40.200000000000003</v>
      </c>
    </row>
    <row r="37" spans="1:6" x14ac:dyDescent="0.5">
      <c r="A37" s="43">
        <v>121</v>
      </c>
      <c r="B37" s="30">
        <v>4.5</v>
      </c>
      <c r="C37" s="30">
        <v>4.8</v>
      </c>
      <c r="D37" s="30">
        <v>62.4</v>
      </c>
      <c r="E37" s="30">
        <v>39.4</v>
      </c>
      <c r="F37" s="30">
        <v>30.1</v>
      </c>
    </row>
    <row r="38" spans="1:6" x14ac:dyDescent="0.5">
      <c r="A38" s="43">
        <v>128</v>
      </c>
      <c r="B38" s="30">
        <v>2.27</v>
      </c>
      <c r="C38" s="30">
        <v>7.81</v>
      </c>
      <c r="D38" s="30">
        <v>73.3</v>
      </c>
      <c r="E38" s="30">
        <v>18.5</v>
      </c>
      <c r="F38" s="30">
        <v>8.8999999999999996E-2</v>
      </c>
    </row>
    <row r="39" spans="1:6" x14ac:dyDescent="0.5">
      <c r="A39" s="43">
        <v>212</v>
      </c>
      <c r="B39" s="28">
        <v>10.6</v>
      </c>
      <c r="C39" s="28">
        <v>2.4</v>
      </c>
      <c r="D39" s="28">
        <v>4.24</v>
      </c>
      <c r="E39" s="28">
        <v>1.98</v>
      </c>
      <c r="F39" s="28">
        <v>3.99</v>
      </c>
    </row>
    <row r="40" spans="1:6" x14ac:dyDescent="0.5">
      <c r="A40" s="43">
        <v>133</v>
      </c>
      <c r="B40" s="30">
        <v>14</v>
      </c>
      <c r="C40" s="30">
        <v>20.8</v>
      </c>
      <c r="D40" s="30">
        <v>69.3</v>
      </c>
      <c r="E40" s="30">
        <v>37.700000000000003</v>
      </c>
      <c r="F40" s="30">
        <v>10.7</v>
      </c>
    </row>
    <row r="41" spans="1:6" x14ac:dyDescent="0.5">
      <c r="A41" s="43">
        <v>154</v>
      </c>
      <c r="B41" s="28">
        <v>11.3</v>
      </c>
      <c r="C41" s="28">
        <v>8.02</v>
      </c>
      <c r="D41" s="28">
        <v>7.74</v>
      </c>
      <c r="E41" s="28">
        <v>5.53</v>
      </c>
      <c r="F41" s="28">
        <v>10.9</v>
      </c>
    </row>
    <row r="42" spans="1:6" x14ac:dyDescent="0.5">
      <c r="A42" s="43">
        <v>213</v>
      </c>
      <c r="B42" s="30">
        <v>1.5</v>
      </c>
      <c r="C42" s="30">
        <v>6.78</v>
      </c>
      <c r="D42" s="30">
        <v>73.900000000000006</v>
      </c>
      <c r="E42" s="30">
        <v>14.3</v>
      </c>
      <c r="F42" s="30">
        <v>0.38</v>
      </c>
    </row>
    <row r="43" spans="1:6" x14ac:dyDescent="0.5">
      <c r="A43" s="43">
        <v>186</v>
      </c>
      <c r="B43" s="28">
        <v>19.899999999999999</v>
      </c>
      <c r="C43" s="28">
        <v>6.5</v>
      </c>
      <c r="D43" s="28">
        <v>1.8</v>
      </c>
      <c r="E43" s="28">
        <v>4.75</v>
      </c>
      <c r="F43" s="28">
        <v>2.2000000000000002</v>
      </c>
    </row>
    <row r="44" spans="1:6" x14ac:dyDescent="0.5">
      <c r="A44" s="43">
        <v>127</v>
      </c>
      <c r="B44" s="30">
        <v>3.71</v>
      </c>
      <c r="C44" s="30">
        <v>7.97</v>
      </c>
      <c r="D44" s="30">
        <v>63.1</v>
      </c>
      <c r="E44" s="30">
        <v>22.5</v>
      </c>
      <c r="F44" s="30">
        <v>1.57</v>
      </c>
    </row>
    <row r="45" spans="1:6" x14ac:dyDescent="0.5">
      <c r="A45" s="43">
        <v>127</v>
      </c>
      <c r="B45" s="30">
        <v>4.84</v>
      </c>
      <c r="C45" s="30">
        <v>6.9</v>
      </c>
      <c r="D45" s="30">
        <v>82.8</v>
      </c>
      <c r="E45" s="30">
        <v>47.6</v>
      </c>
      <c r="F45" s="30">
        <v>0.43</v>
      </c>
    </row>
    <row r="46" spans="1:6" x14ac:dyDescent="0.5">
      <c r="A46" s="43">
        <v>101</v>
      </c>
      <c r="B46" s="28">
        <v>16.100000000000001</v>
      </c>
      <c r="C46" s="28">
        <v>3.76</v>
      </c>
      <c r="D46" s="28">
        <v>5.42</v>
      </c>
      <c r="E46" s="28">
        <v>2.4500000000000002</v>
      </c>
      <c r="F46" s="28">
        <v>1.67</v>
      </c>
    </row>
    <row r="47" spans="1:6" x14ac:dyDescent="0.5">
      <c r="A47" s="43">
        <v>105</v>
      </c>
      <c r="B47" s="30">
        <v>8.02</v>
      </c>
      <c r="C47" s="30">
        <v>4.92</v>
      </c>
      <c r="D47" s="30">
        <v>64</v>
      </c>
      <c r="E47" s="30">
        <v>67.8</v>
      </c>
      <c r="F47" s="30">
        <v>0.69</v>
      </c>
    </row>
    <row r="48" spans="1:6" x14ac:dyDescent="0.5">
      <c r="A48" s="43">
        <v>216</v>
      </c>
      <c r="B48" s="30">
        <v>8.3800000000000008</v>
      </c>
      <c r="C48" s="30">
        <v>7.13</v>
      </c>
      <c r="D48" s="30">
        <v>74</v>
      </c>
      <c r="E48" s="30">
        <v>74.099999999999994</v>
      </c>
      <c r="F48" s="30">
        <v>6.24</v>
      </c>
    </row>
    <row r="49" spans="1:6" x14ac:dyDescent="0.5">
      <c r="A49" s="43">
        <v>167</v>
      </c>
      <c r="B49" s="28">
        <v>8.32</v>
      </c>
      <c r="C49" s="28">
        <v>6.2</v>
      </c>
      <c r="D49" s="28">
        <v>4.99</v>
      </c>
      <c r="E49" s="28">
        <v>4.0199999999999996</v>
      </c>
      <c r="F49" s="28">
        <v>1.07</v>
      </c>
    </row>
    <row r="50" spans="1:6" x14ac:dyDescent="0.5">
      <c r="A50" s="43">
        <v>217</v>
      </c>
      <c r="B50" s="30">
        <v>2.2599999999999998</v>
      </c>
      <c r="C50" s="30">
        <v>5.27</v>
      </c>
      <c r="D50" s="30">
        <v>79.400000000000006</v>
      </c>
      <c r="E50" s="30">
        <v>17.8</v>
      </c>
      <c r="F50" s="30">
        <v>0.15</v>
      </c>
    </row>
    <row r="51" spans="1:6" x14ac:dyDescent="0.5">
      <c r="A51" s="43">
        <v>218</v>
      </c>
      <c r="B51" s="30">
        <v>5.25</v>
      </c>
      <c r="C51" s="30">
        <v>4.2300000000000004</v>
      </c>
      <c r="D51" s="30">
        <v>69</v>
      </c>
      <c r="E51" s="30">
        <v>64.599999999999994</v>
      </c>
      <c r="F51" s="30">
        <v>0.47</v>
      </c>
    </row>
    <row r="52" spans="1:6" x14ac:dyDescent="0.5">
      <c r="A52" s="43">
        <v>195</v>
      </c>
      <c r="B52" s="28">
        <v>1.54</v>
      </c>
      <c r="C52" s="28">
        <v>4.7300000000000004</v>
      </c>
      <c r="D52" s="28">
        <v>0.99</v>
      </c>
      <c r="E52" s="28">
        <v>1</v>
      </c>
      <c r="F52" s="28">
        <v>65.400000000000006</v>
      </c>
    </row>
    <row r="53" spans="1:6" x14ac:dyDescent="0.5">
      <c r="A53" s="43">
        <v>125</v>
      </c>
      <c r="B53" s="30">
        <v>8.16</v>
      </c>
      <c r="C53" s="30">
        <v>11.1</v>
      </c>
      <c r="D53" s="30">
        <v>59</v>
      </c>
      <c r="E53" s="30">
        <v>37.700000000000003</v>
      </c>
      <c r="F53" s="30">
        <v>6.42</v>
      </c>
    </row>
    <row r="54" spans="1:6" x14ac:dyDescent="0.5">
      <c r="A54" s="43">
        <v>103</v>
      </c>
      <c r="B54" s="30">
        <v>16</v>
      </c>
      <c r="C54" s="30">
        <v>4.93</v>
      </c>
      <c r="D54" s="30">
        <v>38.9</v>
      </c>
      <c r="E54" s="30">
        <v>90</v>
      </c>
      <c r="F54" s="30">
        <v>0.23</v>
      </c>
    </row>
    <row r="55" spans="1:6" x14ac:dyDescent="0.5">
      <c r="A55" s="43">
        <v>219</v>
      </c>
      <c r="B55" s="30">
        <v>6.91</v>
      </c>
      <c r="C55" s="30">
        <v>8.48</v>
      </c>
      <c r="D55" s="30">
        <v>76.3</v>
      </c>
      <c r="E55" s="30">
        <v>49.4</v>
      </c>
      <c r="F55" s="30">
        <v>3.29</v>
      </c>
    </row>
    <row r="56" spans="1:6" x14ac:dyDescent="0.5">
      <c r="A56" s="43">
        <v>220</v>
      </c>
      <c r="B56" s="28">
        <v>6.43</v>
      </c>
      <c r="C56" s="28">
        <v>7.8</v>
      </c>
      <c r="D56" s="28">
        <v>5.16</v>
      </c>
      <c r="E56" s="28">
        <v>5.79</v>
      </c>
      <c r="F56" s="28">
        <v>4.99</v>
      </c>
    </row>
    <row r="57" spans="1:6" x14ac:dyDescent="0.5">
      <c r="A57" s="43">
        <v>185</v>
      </c>
      <c r="B57" s="28">
        <v>5.58</v>
      </c>
      <c r="C57" s="28">
        <v>8.82</v>
      </c>
      <c r="D57" s="28">
        <v>3.41</v>
      </c>
      <c r="E57" s="28">
        <v>4.22</v>
      </c>
      <c r="F57" s="28">
        <v>3.51</v>
      </c>
    </row>
    <row r="58" spans="1:6" x14ac:dyDescent="0.5">
      <c r="A58" s="43">
        <v>143</v>
      </c>
      <c r="B58" s="30">
        <v>15.9</v>
      </c>
      <c r="C58" s="30">
        <v>14.9</v>
      </c>
      <c r="D58" s="30">
        <v>64.5</v>
      </c>
      <c r="E58" s="30">
        <v>48.4</v>
      </c>
      <c r="F58" s="30">
        <v>3.04</v>
      </c>
    </row>
    <row r="59" spans="1:6" x14ac:dyDescent="0.5">
      <c r="A59" s="43">
        <v>123</v>
      </c>
      <c r="B59" s="30">
        <v>8.59</v>
      </c>
      <c r="C59" s="30">
        <v>8.48</v>
      </c>
      <c r="D59" s="30">
        <v>64.900000000000006</v>
      </c>
      <c r="E59" s="30">
        <v>48.7</v>
      </c>
      <c r="F59" s="30">
        <v>2.58</v>
      </c>
    </row>
    <row r="60" spans="1:6" x14ac:dyDescent="0.5">
      <c r="A60" s="43">
        <v>174</v>
      </c>
      <c r="B60" s="28">
        <v>8.49</v>
      </c>
      <c r="C60" s="28">
        <v>10.1</v>
      </c>
      <c r="D60" s="28">
        <v>5.47</v>
      </c>
      <c r="E60" s="28">
        <v>5.07</v>
      </c>
      <c r="F60" s="28">
        <v>1</v>
      </c>
    </row>
    <row r="61" spans="1:6" x14ac:dyDescent="0.5">
      <c r="A61" s="43">
        <v>134</v>
      </c>
      <c r="B61" s="30">
        <v>5.83</v>
      </c>
      <c r="C61" s="30">
        <v>8.5299999999999994</v>
      </c>
      <c r="D61" s="30">
        <v>75.900000000000006</v>
      </c>
      <c r="E61" s="30">
        <v>41.2</v>
      </c>
      <c r="F61" s="30">
        <v>0.39</v>
      </c>
    </row>
    <row r="62" spans="1:6" x14ac:dyDescent="0.5">
      <c r="A62" s="43">
        <v>196</v>
      </c>
      <c r="B62" s="28">
        <v>3.73</v>
      </c>
      <c r="C62" s="28">
        <v>8.15</v>
      </c>
      <c r="D62" s="28">
        <v>2.6</v>
      </c>
      <c r="E62" s="28">
        <v>2.41</v>
      </c>
      <c r="F62" s="28">
        <v>1.29</v>
      </c>
    </row>
    <row r="63" spans="1:6" x14ac:dyDescent="0.5">
      <c r="A63" s="43">
        <v>152</v>
      </c>
      <c r="B63" s="30">
        <v>3.43</v>
      </c>
      <c r="C63" s="30">
        <v>4.1399999999999997</v>
      </c>
      <c r="D63" s="30">
        <v>47.4</v>
      </c>
      <c r="E63" s="30">
        <v>24.6</v>
      </c>
      <c r="F63" s="30">
        <v>9.99</v>
      </c>
    </row>
    <row r="64" spans="1:6" x14ac:dyDescent="0.5">
      <c r="A64" s="43">
        <v>138</v>
      </c>
      <c r="B64" s="30">
        <v>4.67</v>
      </c>
      <c r="C64" s="30">
        <v>7.79</v>
      </c>
      <c r="D64" s="30">
        <v>70.3</v>
      </c>
      <c r="E64" s="30">
        <v>38.799999999999997</v>
      </c>
      <c r="F64" s="30">
        <v>3.78</v>
      </c>
    </row>
    <row r="65" spans="1:6" x14ac:dyDescent="0.5">
      <c r="A65" s="43">
        <v>221</v>
      </c>
      <c r="B65" s="30">
        <v>4.16</v>
      </c>
      <c r="C65" s="30">
        <v>5.89</v>
      </c>
      <c r="D65" s="30">
        <v>71.2</v>
      </c>
      <c r="E65" s="30">
        <v>48.9</v>
      </c>
      <c r="F65" s="30">
        <v>10.199999999999999</v>
      </c>
    </row>
    <row r="66" spans="1:6" x14ac:dyDescent="0.5">
      <c r="A66" s="43">
        <v>102</v>
      </c>
      <c r="B66" s="30">
        <v>13.1</v>
      </c>
      <c r="C66" s="30">
        <v>5.97</v>
      </c>
      <c r="D66" s="30">
        <v>67.3</v>
      </c>
      <c r="E66" s="30">
        <v>84.9</v>
      </c>
      <c r="F66" s="30">
        <v>1.76</v>
      </c>
    </row>
    <row r="67" spans="1:6" x14ac:dyDescent="0.5">
      <c r="A67" s="43">
        <v>157</v>
      </c>
      <c r="B67" s="30">
        <v>12.8</v>
      </c>
      <c r="C67" s="30">
        <v>10.1</v>
      </c>
      <c r="D67" s="30">
        <v>74.8</v>
      </c>
      <c r="E67" s="30">
        <v>77.900000000000006</v>
      </c>
      <c r="F67" s="30">
        <v>9.15</v>
      </c>
    </row>
    <row r="68" spans="1:6" x14ac:dyDescent="0.5">
      <c r="A68" s="43">
        <v>197</v>
      </c>
      <c r="B68" s="28">
        <v>7.93</v>
      </c>
      <c r="C68" s="28">
        <v>42.4</v>
      </c>
      <c r="D68" s="28">
        <v>4.4000000000000004</v>
      </c>
      <c r="E68" s="28">
        <v>6.15</v>
      </c>
      <c r="F68" s="28">
        <v>10.5</v>
      </c>
    </row>
    <row r="69" spans="1:6" x14ac:dyDescent="0.5">
      <c r="A69" s="43">
        <v>193</v>
      </c>
      <c r="B69" s="28">
        <v>25.6</v>
      </c>
      <c r="C69" s="28">
        <v>13.7</v>
      </c>
      <c r="D69" s="28">
        <v>14.6</v>
      </c>
      <c r="E69" s="28">
        <v>11.2</v>
      </c>
      <c r="F69" s="28">
        <v>7.55</v>
      </c>
    </row>
    <row r="70" spans="1:6" x14ac:dyDescent="0.5">
      <c r="A70" s="43">
        <v>144</v>
      </c>
      <c r="B70" s="30">
        <v>6.52</v>
      </c>
      <c r="C70" s="30">
        <v>14.8</v>
      </c>
      <c r="D70" s="30">
        <v>73.400000000000006</v>
      </c>
      <c r="E70" s="30">
        <v>32.700000000000003</v>
      </c>
      <c r="F70" s="30">
        <v>7.5999999999999998E-2</v>
      </c>
    </row>
    <row r="71" spans="1:6" x14ac:dyDescent="0.5">
      <c r="A71" s="43">
        <v>132</v>
      </c>
      <c r="B71" s="30">
        <v>3.75</v>
      </c>
      <c r="C71" s="30">
        <v>7.11</v>
      </c>
      <c r="D71" s="30">
        <v>77.900000000000006</v>
      </c>
      <c r="E71" s="30">
        <v>33.6</v>
      </c>
      <c r="F71" s="30">
        <v>0.38</v>
      </c>
    </row>
    <row r="72" spans="1:6" x14ac:dyDescent="0.5">
      <c r="A72" s="43">
        <v>223</v>
      </c>
      <c r="B72" s="30">
        <v>5.44</v>
      </c>
      <c r="C72" s="30">
        <v>7.04</v>
      </c>
      <c r="D72" s="30">
        <v>81.400000000000006</v>
      </c>
      <c r="E72" s="30">
        <v>54.1</v>
      </c>
      <c r="F72" s="30">
        <v>2.64</v>
      </c>
    </row>
    <row r="73" spans="1:6" x14ac:dyDescent="0.5">
      <c r="A73" s="43">
        <v>224</v>
      </c>
      <c r="B73" s="30">
        <v>3.06</v>
      </c>
      <c r="C73" s="30">
        <v>7.35</v>
      </c>
      <c r="D73" s="30">
        <v>80.3</v>
      </c>
      <c r="E73" s="30">
        <v>28.2</v>
      </c>
      <c r="F73" s="30">
        <v>0.2</v>
      </c>
    </row>
    <row r="74" spans="1:6" x14ac:dyDescent="0.5">
      <c r="A74" s="43">
        <v>225</v>
      </c>
      <c r="B74" s="30">
        <v>5.73</v>
      </c>
      <c r="C74" s="30">
        <v>4.8600000000000003</v>
      </c>
      <c r="D74" s="30">
        <v>62.4</v>
      </c>
      <c r="E74" s="30">
        <v>48.8</v>
      </c>
      <c r="F74" s="30">
        <v>0.65</v>
      </c>
    </row>
    <row r="75" spans="1:6" x14ac:dyDescent="0.5">
      <c r="A75" s="43">
        <v>226</v>
      </c>
      <c r="B75" s="30">
        <v>5.51</v>
      </c>
      <c r="C75" s="30">
        <v>8.57</v>
      </c>
      <c r="D75" s="30">
        <v>86.4</v>
      </c>
      <c r="E75" s="30">
        <v>50.3</v>
      </c>
      <c r="F75" s="30">
        <v>1.1499999999999999</v>
      </c>
    </row>
    <row r="76" spans="1:6" x14ac:dyDescent="0.5">
      <c r="A76" s="43">
        <v>194</v>
      </c>
      <c r="B76" s="28">
        <v>9.74</v>
      </c>
      <c r="C76" s="28">
        <v>5.99</v>
      </c>
      <c r="D76" s="28">
        <v>4.9000000000000004</v>
      </c>
      <c r="E76" s="28">
        <v>4.9800000000000004</v>
      </c>
      <c r="F76" s="28">
        <v>0.35</v>
      </c>
    </row>
    <row r="77" spans="1:6" x14ac:dyDescent="0.5">
      <c r="A77" s="43">
        <v>227</v>
      </c>
      <c r="B77" s="30">
        <v>6.71</v>
      </c>
      <c r="C77" s="30">
        <v>7.19</v>
      </c>
      <c r="D77" s="30">
        <v>82.7</v>
      </c>
      <c r="E77" s="30">
        <v>69.400000000000006</v>
      </c>
      <c r="F77" s="30">
        <v>6.48</v>
      </c>
    </row>
    <row r="78" spans="1:6" x14ac:dyDescent="0.5">
      <c r="A78" s="43">
        <v>162</v>
      </c>
      <c r="B78" s="30">
        <v>7.82</v>
      </c>
      <c r="C78" s="30">
        <v>9.75</v>
      </c>
      <c r="D78" s="30">
        <v>84.2</v>
      </c>
      <c r="E78" s="30">
        <v>53.6</v>
      </c>
      <c r="F78" s="30">
        <v>8.58</v>
      </c>
    </row>
    <row r="79" spans="1:6" x14ac:dyDescent="0.5">
      <c r="A79" s="43">
        <v>170</v>
      </c>
      <c r="B79" s="30">
        <v>9.2100000000000009</v>
      </c>
      <c r="C79" s="30">
        <v>6.06</v>
      </c>
      <c r="D79" s="30">
        <v>57.3</v>
      </c>
      <c r="E79" s="30">
        <v>67.2</v>
      </c>
      <c r="F79" s="30">
        <v>35.4</v>
      </c>
    </row>
    <row r="80" spans="1:6" x14ac:dyDescent="0.5">
      <c r="A80" s="43">
        <v>228</v>
      </c>
      <c r="B80" s="30">
        <v>4.95</v>
      </c>
      <c r="C80" s="30">
        <v>6.35</v>
      </c>
      <c r="D80" s="30">
        <v>66.7</v>
      </c>
      <c r="E80" s="30">
        <v>41.1</v>
      </c>
      <c r="F80" s="30">
        <v>4.3499999999999996</v>
      </c>
    </row>
    <row r="81" spans="1:6" x14ac:dyDescent="0.5">
      <c r="A81" s="43">
        <v>229</v>
      </c>
      <c r="B81" s="30">
        <v>11.3</v>
      </c>
      <c r="C81" s="30">
        <v>8.5399999999999991</v>
      </c>
      <c r="D81" s="30">
        <v>76.5</v>
      </c>
      <c r="E81" s="30">
        <v>78.400000000000006</v>
      </c>
      <c r="F81" s="30">
        <v>0.72</v>
      </c>
    </row>
    <row r="82" spans="1:6" x14ac:dyDescent="0.5">
      <c r="A82" s="43">
        <v>231</v>
      </c>
      <c r="B82" s="28">
        <v>16</v>
      </c>
      <c r="C82" s="28">
        <v>4.3099999999999996</v>
      </c>
      <c r="D82" s="28">
        <v>3.7</v>
      </c>
      <c r="E82" s="28">
        <v>3.83</v>
      </c>
      <c r="F82" s="28">
        <v>1.03</v>
      </c>
    </row>
    <row r="83" spans="1:6" x14ac:dyDescent="0.5">
      <c r="A83" s="43">
        <v>247</v>
      </c>
      <c r="B83" s="30">
        <v>9.59</v>
      </c>
      <c r="C83" s="30">
        <v>5.91</v>
      </c>
      <c r="D83" s="30">
        <v>72.099999999999994</v>
      </c>
      <c r="E83" s="30">
        <v>87</v>
      </c>
      <c r="F83" s="30">
        <v>7.93</v>
      </c>
    </row>
    <row r="84" spans="1:6" x14ac:dyDescent="0.5">
      <c r="A84" s="43">
        <v>232</v>
      </c>
      <c r="B84" s="28">
        <v>4.16</v>
      </c>
      <c r="C84" s="28">
        <v>4.4400000000000004</v>
      </c>
      <c r="D84" s="28">
        <v>1.95</v>
      </c>
      <c r="E84" s="28">
        <v>2.27</v>
      </c>
      <c r="F84" s="28">
        <v>9.06</v>
      </c>
    </row>
    <row r="85" spans="1:6" x14ac:dyDescent="0.5">
      <c r="A85" s="43">
        <v>161</v>
      </c>
      <c r="B85" s="30">
        <v>2.2400000000000002</v>
      </c>
      <c r="C85" s="30">
        <v>8.99</v>
      </c>
      <c r="D85" s="30">
        <v>70.8</v>
      </c>
      <c r="E85" s="30">
        <v>12.9</v>
      </c>
      <c r="F85" s="30">
        <v>2.8000000000000001E-2</v>
      </c>
    </row>
    <row r="86" spans="1:6" x14ac:dyDescent="0.5">
      <c r="A86" s="43">
        <v>163</v>
      </c>
      <c r="B86" s="28">
        <v>8.39</v>
      </c>
      <c r="C86" s="28">
        <v>4.88</v>
      </c>
      <c r="D86" s="28">
        <v>5.27</v>
      </c>
      <c r="E86" s="28">
        <v>2.56</v>
      </c>
      <c r="F86" s="28">
        <v>7.24</v>
      </c>
    </row>
    <row r="87" spans="1:6" x14ac:dyDescent="0.5">
      <c r="A87" s="43">
        <v>233</v>
      </c>
      <c r="B87" s="30">
        <v>8.7100000000000009</v>
      </c>
      <c r="C87" s="30">
        <v>8.43</v>
      </c>
      <c r="D87" s="30">
        <v>72.3</v>
      </c>
      <c r="E87" s="30">
        <v>74.5</v>
      </c>
      <c r="F87" s="30">
        <v>0.94</v>
      </c>
    </row>
    <row r="88" spans="1:6" x14ac:dyDescent="0.5">
      <c r="A88" s="43">
        <v>168</v>
      </c>
      <c r="B88" s="30">
        <v>4.05</v>
      </c>
      <c r="C88" s="30">
        <v>8.34</v>
      </c>
      <c r="D88" s="30">
        <v>66.7</v>
      </c>
      <c r="E88" s="30">
        <v>33.1</v>
      </c>
      <c r="F88" s="30">
        <v>0.61</v>
      </c>
    </row>
    <row r="89" spans="1:6" x14ac:dyDescent="0.5">
      <c r="A89" s="43">
        <v>168</v>
      </c>
      <c r="B89" s="30">
        <v>6.86</v>
      </c>
      <c r="C89" s="30">
        <v>4.91</v>
      </c>
      <c r="D89" s="30">
        <v>62.5</v>
      </c>
      <c r="E89" s="30">
        <v>69.5</v>
      </c>
      <c r="F89" s="30">
        <v>1.02</v>
      </c>
    </row>
    <row r="90" spans="1:6" x14ac:dyDescent="0.5">
      <c r="A90" s="43">
        <v>106</v>
      </c>
      <c r="B90" s="30">
        <v>15.6</v>
      </c>
      <c r="C90" s="30">
        <v>8.92</v>
      </c>
      <c r="D90" s="30">
        <v>51.2</v>
      </c>
      <c r="E90" s="30">
        <v>74</v>
      </c>
      <c r="F90" s="30">
        <v>2.14</v>
      </c>
    </row>
    <row r="91" spans="1:6" x14ac:dyDescent="0.5">
      <c r="A91" s="43">
        <v>147</v>
      </c>
      <c r="B91" s="28">
        <v>6.8</v>
      </c>
      <c r="C91" s="28">
        <v>4.53</v>
      </c>
      <c r="D91" s="28">
        <v>3.84</v>
      </c>
      <c r="E91" s="28">
        <v>2.2000000000000002</v>
      </c>
      <c r="F91" s="28">
        <v>0.62</v>
      </c>
    </row>
    <row r="92" spans="1:6" x14ac:dyDescent="0.5">
      <c r="A92" s="43">
        <v>130</v>
      </c>
      <c r="B92" s="28">
        <v>11.8</v>
      </c>
      <c r="C92" s="28">
        <v>5.0199999999999996</v>
      </c>
      <c r="D92" s="28">
        <v>6.12</v>
      </c>
      <c r="E92" s="28">
        <v>3.41</v>
      </c>
      <c r="F92" s="28">
        <v>1.41</v>
      </c>
    </row>
    <row r="93" spans="1:6" x14ac:dyDescent="0.5">
      <c r="A93" s="43">
        <v>175</v>
      </c>
      <c r="B93" s="28">
        <v>8.76</v>
      </c>
      <c r="C93" s="28">
        <v>10.3</v>
      </c>
      <c r="D93" s="28">
        <v>6.26</v>
      </c>
      <c r="E93" s="28">
        <v>5.8</v>
      </c>
      <c r="F93" s="28">
        <v>1</v>
      </c>
    </row>
    <row r="94" spans="1:6" x14ac:dyDescent="0.5">
      <c r="A94" s="43">
        <v>111</v>
      </c>
      <c r="B94" s="30">
        <v>17.600000000000001</v>
      </c>
      <c r="C94" s="30">
        <v>10.3</v>
      </c>
      <c r="D94" s="30">
        <v>52.2</v>
      </c>
      <c r="E94" s="30">
        <v>79.900000000000006</v>
      </c>
      <c r="F94" s="30">
        <v>0.23</v>
      </c>
    </row>
    <row r="95" spans="1:6" x14ac:dyDescent="0.5">
      <c r="A95" s="43">
        <v>150</v>
      </c>
      <c r="B95" s="28">
        <v>18.3</v>
      </c>
      <c r="C95" s="28">
        <v>6.57</v>
      </c>
      <c r="D95" s="28">
        <v>8.48</v>
      </c>
      <c r="E95" s="28">
        <v>5.29</v>
      </c>
      <c r="F95" s="28">
        <v>30.9</v>
      </c>
    </row>
    <row r="96" spans="1:6" x14ac:dyDescent="0.5">
      <c r="A96" s="43">
        <v>149</v>
      </c>
      <c r="B96" s="28">
        <v>9.74</v>
      </c>
      <c r="C96" s="28">
        <v>7.39</v>
      </c>
      <c r="D96" s="28">
        <v>4.63</v>
      </c>
      <c r="E96" s="28">
        <v>3.75</v>
      </c>
      <c r="F96" s="28">
        <v>6.63</v>
      </c>
    </row>
    <row r="97" spans="1:6" x14ac:dyDescent="0.5">
      <c r="A97" s="43">
        <v>155</v>
      </c>
      <c r="B97" s="30">
        <v>7.69</v>
      </c>
      <c r="C97" s="30">
        <v>8.17</v>
      </c>
      <c r="D97" s="30">
        <v>60.9</v>
      </c>
      <c r="E97" s="30">
        <v>53.2</v>
      </c>
      <c r="F97" s="30">
        <v>2.31</v>
      </c>
    </row>
    <row r="98" spans="1:6" x14ac:dyDescent="0.5">
      <c r="A98" s="43">
        <v>158</v>
      </c>
      <c r="B98" s="30">
        <v>10.4</v>
      </c>
      <c r="C98" s="30">
        <v>9.25</v>
      </c>
      <c r="D98" s="30">
        <v>69</v>
      </c>
      <c r="E98" s="30">
        <v>63.4</v>
      </c>
      <c r="F98" s="30">
        <v>0.59</v>
      </c>
    </row>
    <row r="99" spans="1:6" x14ac:dyDescent="0.5">
      <c r="A99" s="43">
        <v>137</v>
      </c>
      <c r="B99" s="30">
        <v>9.2799999999999994</v>
      </c>
      <c r="C99" s="30">
        <v>7.76</v>
      </c>
      <c r="D99" s="30">
        <v>75.7</v>
      </c>
      <c r="E99" s="30">
        <v>59.6</v>
      </c>
      <c r="F99" s="30">
        <v>25</v>
      </c>
    </row>
    <row r="100" spans="1:6" x14ac:dyDescent="0.5">
      <c r="A100" s="43">
        <v>235</v>
      </c>
      <c r="B100" s="28">
        <v>5.75</v>
      </c>
      <c r="C100" s="28">
        <v>5.56</v>
      </c>
      <c r="D100" s="28">
        <v>3.17</v>
      </c>
      <c r="E100" s="28">
        <v>3.55</v>
      </c>
      <c r="F100" s="28">
        <v>10.199999999999999</v>
      </c>
    </row>
    <row r="101" spans="1:6" x14ac:dyDescent="0.5">
      <c r="A101" s="43">
        <v>109</v>
      </c>
      <c r="B101" s="30">
        <v>7.92</v>
      </c>
      <c r="C101" s="30">
        <v>5.86</v>
      </c>
      <c r="D101" s="30">
        <v>37.700000000000003</v>
      </c>
      <c r="E101" s="30">
        <v>52.7</v>
      </c>
      <c r="F101" s="30">
        <v>2.41</v>
      </c>
    </row>
    <row r="102" spans="1:6" x14ac:dyDescent="0.5">
      <c r="A102" s="43">
        <v>118</v>
      </c>
      <c r="B102" s="30">
        <v>5.29</v>
      </c>
      <c r="C102" s="30">
        <v>10.8</v>
      </c>
      <c r="D102" s="30">
        <v>80.099999999999994</v>
      </c>
      <c r="E102" s="30">
        <v>31.3</v>
      </c>
      <c r="F102" s="30">
        <v>5.15</v>
      </c>
    </row>
    <row r="103" spans="1:6" x14ac:dyDescent="0.5">
      <c r="A103" s="43">
        <v>236</v>
      </c>
      <c r="B103" s="30">
        <v>7.04</v>
      </c>
      <c r="C103" s="30">
        <v>9.94</v>
      </c>
      <c r="D103" s="30">
        <v>79</v>
      </c>
      <c r="E103" s="30">
        <v>49.1</v>
      </c>
      <c r="F103" s="30">
        <v>3.47</v>
      </c>
    </row>
    <row r="104" spans="1:6" x14ac:dyDescent="0.5">
      <c r="A104" s="43">
        <v>100</v>
      </c>
      <c r="B104" s="30">
        <v>7.73</v>
      </c>
      <c r="C104" s="30">
        <v>6.59</v>
      </c>
      <c r="D104" s="30">
        <v>71.5</v>
      </c>
      <c r="E104" s="30">
        <v>54.2</v>
      </c>
      <c r="F104" s="30">
        <v>1.32</v>
      </c>
    </row>
    <row r="105" spans="1:6" x14ac:dyDescent="0.5">
      <c r="A105" s="43">
        <v>237</v>
      </c>
      <c r="B105" s="30">
        <v>7.59</v>
      </c>
      <c r="C105" s="30">
        <v>5.42</v>
      </c>
      <c r="D105" s="30">
        <v>62.6</v>
      </c>
      <c r="E105" s="30">
        <v>70.2</v>
      </c>
      <c r="F105" s="30">
        <v>1.73</v>
      </c>
    </row>
    <row r="106" spans="1:6" x14ac:dyDescent="0.5">
      <c r="A106" s="43">
        <v>238</v>
      </c>
      <c r="B106" s="30">
        <v>5.05</v>
      </c>
      <c r="C106" s="30">
        <v>8.17</v>
      </c>
      <c r="D106" s="30">
        <v>69.5</v>
      </c>
      <c r="E106" s="30">
        <v>32.700000000000003</v>
      </c>
      <c r="F106" s="30">
        <v>0.5</v>
      </c>
    </row>
    <row r="107" spans="1:6" x14ac:dyDescent="0.5">
      <c r="A107" s="43">
        <v>239</v>
      </c>
      <c r="B107" s="30">
        <v>4.9400000000000004</v>
      </c>
      <c r="C107" s="30">
        <v>6.01</v>
      </c>
      <c r="D107" s="30">
        <v>68.2</v>
      </c>
      <c r="E107" s="30">
        <v>47.7</v>
      </c>
      <c r="F107" s="30">
        <v>0.42</v>
      </c>
    </row>
    <row r="108" spans="1:6" x14ac:dyDescent="0.5">
      <c r="A108" s="43">
        <v>172</v>
      </c>
      <c r="B108" s="28">
        <v>13.9</v>
      </c>
      <c r="C108" s="28">
        <v>5.42</v>
      </c>
      <c r="D108" s="28">
        <v>6.87</v>
      </c>
      <c r="E108" s="28">
        <v>4.21</v>
      </c>
      <c r="F108" s="28">
        <v>1.28</v>
      </c>
    </row>
    <row r="109" spans="1:6" x14ac:dyDescent="0.5">
      <c r="A109" s="43">
        <v>156</v>
      </c>
      <c r="B109" s="30">
        <v>9.4600000000000009</v>
      </c>
      <c r="C109" s="30">
        <v>10.9</v>
      </c>
      <c r="D109" s="30">
        <v>80.7</v>
      </c>
      <c r="E109" s="30">
        <v>67.7</v>
      </c>
      <c r="F109" s="30">
        <v>2.92</v>
      </c>
    </row>
    <row r="110" spans="1:6" x14ac:dyDescent="0.5">
      <c r="A110" s="48">
        <v>107</v>
      </c>
      <c r="B110" s="30">
        <v>8.93</v>
      </c>
      <c r="C110" s="30">
        <v>6.7</v>
      </c>
      <c r="D110" s="30">
        <v>70.3</v>
      </c>
      <c r="E110" s="30">
        <v>67.8</v>
      </c>
      <c r="F110" s="30">
        <v>0.66</v>
      </c>
    </row>
    <row r="111" spans="1:6" x14ac:dyDescent="0.5">
      <c r="A111" s="48">
        <v>131</v>
      </c>
      <c r="B111" s="30">
        <v>2.93</v>
      </c>
      <c r="C111" s="30">
        <v>3.63</v>
      </c>
      <c r="D111" s="30">
        <v>91.9</v>
      </c>
      <c r="E111" s="30">
        <v>44</v>
      </c>
      <c r="F111" s="30">
        <v>0.6</v>
      </c>
    </row>
    <row r="112" spans="1:6" x14ac:dyDescent="0.5">
      <c r="A112" s="43">
        <v>164</v>
      </c>
      <c r="B112" s="28">
        <v>3.73</v>
      </c>
      <c r="C112" s="28">
        <v>4.38</v>
      </c>
      <c r="D112" s="28">
        <v>1.73</v>
      </c>
      <c r="E112" s="28">
        <v>1.7</v>
      </c>
      <c r="F112" s="28">
        <v>1.3</v>
      </c>
    </row>
    <row r="113" spans="1:6" x14ac:dyDescent="0.5">
      <c r="A113" s="43">
        <v>166</v>
      </c>
      <c r="B113" s="30">
        <v>6.24</v>
      </c>
      <c r="C113" s="30">
        <v>6.23</v>
      </c>
      <c r="D113" s="30">
        <v>52.9</v>
      </c>
      <c r="E113" s="30">
        <v>30.5</v>
      </c>
      <c r="F113" s="30">
        <v>1.31</v>
      </c>
    </row>
    <row r="114" spans="1:6" x14ac:dyDescent="0.5">
      <c r="A114" s="43">
        <v>180</v>
      </c>
      <c r="B114" s="28">
        <v>5.23</v>
      </c>
      <c r="C114" s="28">
        <v>5.47</v>
      </c>
      <c r="D114" s="28">
        <v>3.93</v>
      </c>
      <c r="E114" s="28">
        <v>3.17</v>
      </c>
      <c r="F114" s="28">
        <v>12.8</v>
      </c>
    </row>
    <row r="115" spans="1:6" x14ac:dyDescent="0.5">
      <c r="A115" s="43">
        <v>126</v>
      </c>
      <c r="B115" s="30">
        <v>1.88</v>
      </c>
      <c r="C115" s="30">
        <v>7.07</v>
      </c>
      <c r="D115" s="30">
        <v>69.8</v>
      </c>
      <c r="E115" s="30">
        <v>17</v>
      </c>
      <c r="F115" s="30">
        <v>0.15</v>
      </c>
    </row>
    <row r="116" spans="1:6" x14ac:dyDescent="0.5">
      <c r="A116" s="43">
        <v>178</v>
      </c>
      <c r="B116" s="28">
        <v>11.1</v>
      </c>
      <c r="C116" s="28">
        <v>4.0999999999999996</v>
      </c>
      <c r="D116" s="28">
        <v>3.68</v>
      </c>
      <c r="E116" s="28">
        <v>3.66</v>
      </c>
      <c r="F116" s="28">
        <v>5.71</v>
      </c>
    </row>
    <row r="117" spans="1:6" x14ac:dyDescent="0.5">
      <c r="A117" s="43">
        <v>122</v>
      </c>
      <c r="B117" s="30">
        <v>8.19</v>
      </c>
      <c r="C117" s="30">
        <v>11.9</v>
      </c>
      <c r="D117" s="30">
        <v>84.3</v>
      </c>
      <c r="E117" s="30">
        <v>50.8</v>
      </c>
      <c r="F117" s="30">
        <v>4.4400000000000004</v>
      </c>
    </row>
    <row r="118" spans="1:6" x14ac:dyDescent="0.5">
      <c r="A118" s="43">
        <v>140</v>
      </c>
      <c r="B118" s="30">
        <v>4.2300000000000004</v>
      </c>
      <c r="C118" s="30">
        <v>4.1500000000000004</v>
      </c>
      <c r="D118" s="30">
        <v>55.2</v>
      </c>
      <c r="E118" s="30">
        <v>27.7</v>
      </c>
      <c r="F118" s="30">
        <v>0.78</v>
      </c>
    </row>
    <row r="119" spans="1:6" x14ac:dyDescent="0.5">
      <c r="A119" s="43">
        <v>140</v>
      </c>
      <c r="B119" s="28">
        <v>9.01</v>
      </c>
      <c r="C119" s="28">
        <v>6.39</v>
      </c>
      <c r="D119" s="28">
        <v>5.48</v>
      </c>
      <c r="E119" s="28">
        <v>3.03</v>
      </c>
      <c r="F119" s="28">
        <v>3.69</v>
      </c>
    </row>
    <row r="120" spans="1:6" x14ac:dyDescent="0.5">
      <c r="A120" s="43">
        <v>115</v>
      </c>
      <c r="B120" s="30">
        <v>4.7300000000000004</v>
      </c>
      <c r="C120" s="30">
        <v>4.12</v>
      </c>
      <c r="D120" s="30">
        <v>55.9</v>
      </c>
      <c r="E120" s="30">
        <v>50.5</v>
      </c>
      <c r="F120" s="30">
        <v>0.68</v>
      </c>
    </row>
    <row r="121" spans="1:6" x14ac:dyDescent="0.5">
      <c r="A121" s="43">
        <v>113</v>
      </c>
      <c r="B121" s="30">
        <v>20.5</v>
      </c>
      <c r="C121" s="30">
        <v>27</v>
      </c>
      <c r="D121" s="30">
        <v>66.900000000000006</v>
      </c>
      <c r="E121" s="30">
        <v>41.9</v>
      </c>
      <c r="F121" s="30">
        <v>0.16</v>
      </c>
    </row>
    <row r="122" spans="1:6" x14ac:dyDescent="0.5">
      <c r="A122" s="43">
        <v>241</v>
      </c>
      <c r="B122" s="28">
        <v>2.5299999999999998</v>
      </c>
      <c r="C122" s="28">
        <v>4.05</v>
      </c>
      <c r="D122" s="28">
        <v>1.85</v>
      </c>
      <c r="E122" s="28">
        <v>1.54</v>
      </c>
      <c r="F122" s="28">
        <v>29</v>
      </c>
    </row>
    <row r="123" spans="1:6" x14ac:dyDescent="0.5">
      <c r="A123" s="43">
        <v>183</v>
      </c>
      <c r="B123" s="28">
        <v>4.0599999999999996</v>
      </c>
      <c r="C123" s="28">
        <v>4.4400000000000004</v>
      </c>
      <c r="D123" s="28">
        <v>2.42</v>
      </c>
      <c r="E123" s="28">
        <v>2.1800000000000002</v>
      </c>
      <c r="F123" s="28">
        <v>3.58</v>
      </c>
    </row>
    <row r="124" spans="1:6" x14ac:dyDescent="0.5">
      <c r="A124" s="43">
        <v>190</v>
      </c>
      <c r="B124" s="28">
        <v>6.97</v>
      </c>
      <c r="C124" s="28">
        <v>5.87</v>
      </c>
      <c r="D124" s="28">
        <v>3.91</v>
      </c>
      <c r="E124" s="28">
        <v>3.56</v>
      </c>
      <c r="F124" s="28">
        <v>20</v>
      </c>
    </row>
    <row r="125" spans="1:6" x14ac:dyDescent="0.5">
      <c r="A125" s="43">
        <v>242</v>
      </c>
      <c r="B125" s="30">
        <v>5.72</v>
      </c>
      <c r="C125" s="30">
        <v>7.1</v>
      </c>
      <c r="D125" s="30">
        <v>77.900000000000006</v>
      </c>
      <c r="E125" s="30">
        <v>55.2</v>
      </c>
      <c r="F125" s="30">
        <v>5.05</v>
      </c>
    </row>
    <row r="126" spans="1:6" x14ac:dyDescent="0.5">
      <c r="A126" s="43">
        <v>184</v>
      </c>
      <c r="B126" s="28">
        <v>7.98</v>
      </c>
      <c r="C126" s="28">
        <v>8.34</v>
      </c>
      <c r="D126" s="28">
        <v>5.0599999999999996</v>
      </c>
      <c r="E126" s="28">
        <v>4.68</v>
      </c>
      <c r="F126" s="28">
        <v>7.36</v>
      </c>
    </row>
  </sheetData>
  <autoFilter ref="A1:F126" xr:uid="{79E74103-7FE2-4780-A4B1-55F3170E5EF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1834-6528-4B65-991F-6CEF8D8374A0}">
  <dimension ref="A1:JI67"/>
  <sheetViews>
    <sheetView workbookViewId="0">
      <selection activeCell="G21" sqref="G21"/>
    </sheetView>
  </sheetViews>
  <sheetFormatPr defaultRowHeight="14.25" x14ac:dyDescent="0.45"/>
  <cols>
    <col min="1" max="1" width="14.1328125" bestFit="1" customWidth="1"/>
    <col min="2" max="2" width="4.46484375" bestFit="1" customWidth="1"/>
    <col min="3" max="3" width="6.265625" bestFit="1" customWidth="1"/>
    <col min="4" max="4" width="22.3984375" bestFit="1" customWidth="1"/>
    <col min="5" max="5" width="16.6640625" bestFit="1" customWidth="1"/>
    <col min="29" max="29" width="30.06640625" bestFit="1" customWidth="1"/>
  </cols>
  <sheetData>
    <row r="1" spans="1:269" s="12" customFormat="1" ht="15.75" x14ac:dyDescent="0.5">
      <c r="A1" s="12" t="s">
        <v>0</v>
      </c>
      <c r="B1" s="12" t="s">
        <v>67</v>
      </c>
      <c r="C1" s="11" t="s">
        <v>66</v>
      </c>
      <c r="D1" s="12" t="s">
        <v>68</v>
      </c>
      <c r="E1" s="12" t="s">
        <v>69</v>
      </c>
      <c r="F1" s="12" t="s">
        <v>78</v>
      </c>
      <c r="G1" s="12" t="s">
        <v>79</v>
      </c>
      <c r="H1" s="12" t="s">
        <v>80</v>
      </c>
      <c r="I1" s="12" t="s">
        <v>81</v>
      </c>
      <c r="J1" s="12" t="s">
        <v>82</v>
      </c>
      <c r="K1" s="12" t="s">
        <v>83</v>
      </c>
      <c r="L1" s="12" t="s">
        <v>84</v>
      </c>
      <c r="M1" s="12" t="s">
        <v>85</v>
      </c>
      <c r="N1" s="12" t="s">
        <v>86</v>
      </c>
      <c r="O1" s="12" t="s">
        <v>87</v>
      </c>
      <c r="P1" s="12" t="s">
        <v>88</v>
      </c>
      <c r="Q1" s="12" t="s">
        <v>89</v>
      </c>
      <c r="R1" s="47" t="s">
        <v>90</v>
      </c>
      <c r="S1" s="12" t="s">
        <v>91</v>
      </c>
      <c r="T1" s="12" t="s">
        <v>92</v>
      </c>
      <c r="U1" s="12" t="s">
        <v>93</v>
      </c>
      <c r="V1" s="12" t="s">
        <v>94</v>
      </c>
      <c r="W1" s="12" t="s">
        <v>95</v>
      </c>
      <c r="X1" s="12" t="s">
        <v>96</v>
      </c>
      <c r="Y1" s="12" t="s">
        <v>97</v>
      </c>
      <c r="Z1" s="12" t="s">
        <v>98</v>
      </c>
      <c r="AA1" s="12" t="s">
        <v>99</v>
      </c>
      <c r="AB1" s="12" t="s">
        <v>100</v>
      </c>
      <c r="AC1" s="12" t="s">
        <v>101</v>
      </c>
      <c r="AD1" s="47" t="s">
        <v>102</v>
      </c>
      <c r="AE1" s="12" t="s">
        <v>103</v>
      </c>
      <c r="AF1" s="12" t="s">
        <v>104</v>
      </c>
      <c r="AG1" s="12" t="s">
        <v>105</v>
      </c>
      <c r="AH1" s="12" t="s">
        <v>106</v>
      </c>
      <c r="AI1" s="12" t="s">
        <v>107</v>
      </c>
      <c r="AJ1" s="12" t="s">
        <v>108</v>
      </c>
      <c r="AK1" s="12" t="s">
        <v>109</v>
      </c>
      <c r="AL1" s="12" t="s">
        <v>110</v>
      </c>
      <c r="AM1" s="12" t="s">
        <v>111</v>
      </c>
      <c r="AN1" s="12" t="s">
        <v>112</v>
      </c>
      <c r="AO1" s="12" t="s">
        <v>113</v>
      </c>
      <c r="AP1" s="12" t="s">
        <v>95</v>
      </c>
      <c r="AQ1" s="12" t="s">
        <v>114</v>
      </c>
      <c r="AR1" s="12" t="s">
        <v>115</v>
      </c>
      <c r="AS1" s="12" t="s">
        <v>116</v>
      </c>
      <c r="AT1" s="12" t="s">
        <v>99</v>
      </c>
      <c r="AU1" s="12" t="s">
        <v>100</v>
      </c>
      <c r="AV1" s="12" t="s">
        <v>117</v>
      </c>
      <c r="AW1" s="12" t="s">
        <v>118</v>
      </c>
      <c r="AX1" s="12" t="s">
        <v>119</v>
      </c>
      <c r="AY1" s="12" t="s">
        <v>120</v>
      </c>
      <c r="AZ1" s="12" t="s">
        <v>121</v>
      </c>
      <c r="BA1" s="12" t="s">
        <v>122</v>
      </c>
      <c r="BB1" s="12" t="s">
        <v>123</v>
      </c>
      <c r="BC1" s="12" t="s">
        <v>124</v>
      </c>
      <c r="BD1" s="12" t="s">
        <v>125</v>
      </c>
      <c r="BE1" s="12" t="s">
        <v>126</v>
      </c>
      <c r="BF1" s="12" t="s">
        <v>127</v>
      </c>
      <c r="BG1" s="12" t="s">
        <v>128</v>
      </c>
      <c r="BH1" s="12" t="s">
        <v>129</v>
      </c>
      <c r="BI1" s="12" t="s">
        <v>130</v>
      </c>
      <c r="BJ1" s="12" t="s">
        <v>131</v>
      </c>
      <c r="BK1" s="12" t="s">
        <v>132</v>
      </c>
      <c r="BL1" s="12" t="s">
        <v>133</v>
      </c>
      <c r="BM1" s="12" t="s">
        <v>134</v>
      </c>
      <c r="BN1" s="12" t="s">
        <v>135</v>
      </c>
      <c r="BO1" s="12" t="s">
        <v>136</v>
      </c>
      <c r="BP1" s="12" t="s">
        <v>137</v>
      </c>
      <c r="BQ1" s="12" t="s">
        <v>138</v>
      </c>
      <c r="BR1" s="12" t="s">
        <v>139</v>
      </c>
      <c r="BS1" s="12" t="s">
        <v>140</v>
      </c>
      <c r="BT1" s="12" t="s">
        <v>141</v>
      </c>
      <c r="BU1" s="12" t="s">
        <v>142</v>
      </c>
      <c r="BV1" s="12" t="s">
        <v>143</v>
      </c>
      <c r="BW1" s="12" t="s">
        <v>144</v>
      </c>
      <c r="BX1" s="12" t="s">
        <v>145</v>
      </c>
      <c r="BY1" s="12" t="s">
        <v>146</v>
      </c>
      <c r="BZ1" s="12" t="s">
        <v>147</v>
      </c>
      <c r="CA1" s="12" t="s">
        <v>103</v>
      </c>
      <c r="CB1" s="12" t="s">
        <v>148</v>
      </c>
      <c r="CC1" s="12" t="s">
        <v>149</v>
      </c>
      <c r="CD1" s="12" t="s">
        <v>150</v>
      </c>
      <c r="CE1" s="12" t="s">
        <v>151</v>
      </c>
      <c r="CF1" s="12" t="s">
        <v>152</v>
      </c>
      <c r="CG1" s="12" t="s">
        <v>153</v>
      </c>
      <c r="CH1" s="12" t="s">
        <v>154</v>
      </c>
      <c r="CI1" s="12" t="s">
        <v>155</v>
      </c>
      <c r="CJ1" s="12" t="s">
        <v>156</v>
      </c>
      <c r="CK1" s="12" t="s">
        <v>157</v>
      </c>
      <c r="CL1" s="12" t="s">
        <v>158</v>
      </c>
      <c r="CM1" s="12" t="s">
        <v>159</v>
      </c>
      <c r="CN1" s="12" t="s">
        <v>160</v>
      </c>
      <c r="CO1" s="12" t="s">
        <v>161</v>
      </c>
      <c r="CP1" s="12" t="s">
        <v>162</v>
      </c>
      <c r="CQ1" s="12" t="s">
        <v>163</v>
      </c>
      <c r="CR1" s="12" t="s">
        <v>164</v>
      </c>
      <c r="CS1" s="12" t="s">
        <v>165</v>
      </c>
      <c r="CT1" s="12" t="s">
        <v>166</v>
      </c>
      <c r="CU1" s="12" t="s">
        <v>167</v>
      </c>
      <c r="CV1" s="12" t="s">
        <v>168</v>
      </c>
      <c r="CW1" s="12" t="s">
        <v>169</v>
      </c>
      <c r="CX1" s="12" t="s">
        <v>170</v>
      </c>
      <c r="CY1" s="12" t="s">
        <v>171</v>
      </c>
      <c r="CZ1" s="12" t="s">
        <v>172</v>
      </c>
      <c r="DA1" s="12" t="s">
        <v>173</v>
      </c>
      <c r="DB1" s="12" t="s">
        <v>174</v>
      </c>
      <c r="DC1" s="12" t="s">
        <v>175</v>
      </c>
      <c r="DD1" s="12" t="s">
        <v>176</v>
      </c>
      <c r="DE1" s="12" t="s">
        <v>177</v>
      </c>
      <c r="DF1" s="12" t="s">
        <v>178</v>
      </c>
      <c r="DG1" s="12" t="s">
        <v>179</v>
      </c>
      <c r="DH1" s="12" t="s">
        <v>180</v>
      </c>
      <c r="DI1" s="12" t="s">
        <v>181</v>
      </c>
      <c r="DJ1" s="12" t="s">
        <v>182</v>
      </c>
      <c r="DK1" s="12" t="s">
        <v>183</v>
      </c>
      <c r="DL1" s="12" t="s">
        <v>184</v>
      </c>
      <c r="DM1" s="12" t="s">
        <v>185</v>
      </c>
      <c r="DN1" s="12" t="s">
        <v>186</v>
      </c>
      <c r="DO1" s="12" t="s">
        <v>187</v>
      </c>
      <c r="DP1" s="47" t="s">
        <v>188</v>
      </c>
      <c r="DQ1" s="47" t="s">
        <v>189</v>
      </c>
      <c r="DR1" s="47" t="s">
        <v>190</v>
      </c>
      <c r="DS1" s="47" t="s">
        <v>191</v>
      </c>
      <c r="DT1" s="47" t="s">
        <v>192</v>
      </c>
      <c r="DU1" s="47" t="s">
        <v>193</v>
      </c>
      <c r="DV1" s="47" t="s">
        <v>194</v>
      </c>
      <c r="DW1" s="47" t="s">
        <v>195</v>
      </c>
      <c r="DX1" s="47" t="s">
        <v>196</v>
      </c>
      <c r="DY1" s="47" t="s">
        <v>197</v>
      </c>
      <c r="DZ1" s="47" t="s">
        <v>198</v>
      </c>
      <c r="EA1" s="47" t="s">
        <v>199</v>
      </c>
      <c r="EB1" s="47" t="s">
        <v>200</v>
      </c>
      <c r="EC1" s="47" t="s">
        <v>201</v>
      </c>
      <c r="ED1" s="47" t="s">
        <v>202</v>
      </c>
      <c r="EE1" s="47" t="s">
        <v>203</v>
      </c>
      <c r="EF1" s="47" t="s">
        <v>204</v>
      </c>
      <c r="EG1" s="47" t="s">
        <v>205</v>
      </c>
      <c r="EH1" s="47" t="s">
        <v>206</v>
      </c>
      <c r="EI1" s="47" t="s">
        <v>207</v>
      </c>
      <c r="EJ1" s="47" t="s">
        <v>208</v>
      </c>
      <c r="EK1" s="47" t="s">
        <v>209</v>
      </c>
      <c r="EL1" s="47" t="s">
        <v>210</v>
      </c>
      <c r="EM1" s="47" t="s">
        <v>211</v>
      </c>
      <c r="EN1" s="47" t="s">
        <v>212</v>
      </c>
      <c r="EO1" s="47" t="s">
        <v>213</v>
      </c>
      <c r="EP1" s="47" t="s">
        <v>214</v>
      </c>
      <c r="EQ1" s="12" t="s">
        <v>215</v>
      </c>
      <c r="ER1" s="12" t="s">
        <v>216</v>
      </c>
      <c r="ES1" s="12" t="s">
        <v>217</v>
      </c>
      <c r="ET1" s="12" t="s">
        <v>218</v>
      </c>
      <c r="EU1" s="12" t="s">
        <v>219</v>
      </c>
      <c r="EV1" s="12" t="s">
        <v>220</v>
      </c>
      <c r="EW1" s="12" t="s">
        <v>221</v>
      </c>
      <c r="EX1" s="12" t="s">
        <v>222</v>
      </c>
      <c r="EY1" s="12" t="s">
        <v>223</v>
      </c>
      <c r="EZ1" s="12" t="s">
        <v>224</v>
      </c>
      <c r="FA1" s="12" t="s">
        <v>225</v>
      </c>
      <c r="FB1" s="12" t="s">
        <v>226</v>
      </c>
      <c r="FC1" s="12" t="s">
        <v>227</v>
      </c>
      <c r="FD1" s="12" t="s">
        <v>228</v>
      </c>
      <c r="FE1" s="12" t="s">
        <v>229</v>
      </c>
      <c r="FF1" s="12" t="s">
        <v>230</v>
      </c>
      <c r="FG1" s="12" t="s">
        <v>231</v>
      </c>
      <c r="FH1" s="12" t="s">
        <v>232</v>
      </c>
      <c r="FI1" s="12" t="s">
        <v>233</v>
      </c>
      <c r="FJ1" s="12" t="s">
        <v>234</v>
      </c>
      <c r="FK1" s="12" t="s">
        <v>235</v>
      </c>
      <c r="FL1" s="12" t="s">
        <v>236</v>
      </c>
      <c r="FM1" s="12" t="s">
        <v>237</v>
      </c>
      <c r="FN1" s="12" t="s">
        <v>238</v>
      </c>
      <c r="FO1" s="12" t="s">
        <v>239</v>
      </c>
      <c r="FP1" s="12" t="s">
        <v>240</v>
      </c>
      <c r="FQ1" s="12" t="s">
        <v>241</v>
      </c>
      <c r="FR1" s="12" t="s">
        <v>242</v>
      </c>
      <c r="FS1" s="12" t="s">
        <v>243</v>
      </c>
      <c r="FT1" s="12" t="s">
        <v>244</v>
      </c>
      <c r="FU1" s="12" t="s">
        <v>245</v>
      </c>
      <c r="FV1" s="12" t="s">
        <v>246</v>
      </c>
      <c r="FW1" s="12" t="s">
        <v>247</v>
      </c>
      <c r="FX1" s="12" t="s">
        <v>248</v>
      </c>
      <c r="FY1" s="12" t="s">
        <v>249</v>
      </c>
      <c r="FZ1" s="12" t="s">
        <v>250</v>
      </c>
      <c r="GA1" s="12" t="s">
        <v>251</v>
      </c>
      <c r="GB1" s="12" t="s">
        <v>252</v>
      </c>
      <c r="GC1" s="12" t="s">
        <v>253</v>
      </c>
      <c r="GD1" s="12" t="s">
        <v>254</v>
      </c>
      <c r="GE1" s="12" t="s">
        <v>255</v>
      </c>
      <c r="GF1" s="12" t="s">
        <v>256</v>
      </c>
      <c r="GG1" s="12" t="s">
        <v>257</v>
      </c>
      <c r="GH1" s="12" t="s">
        <v>258</v>
      </c>
      <c r="GI1" s="12" t="s">
        <v>259</v>
      </c>
      <c r="GJ1" s="12" t="s">
        <v>260</v>
      </c>
      <c r="GK1" s="12" t="s">
        <v>261</v>
      </c>
      <c r="GL1" s="12" t="s">
        <v>262</v>
      </c>
      <c r="GM1" s="12" t="s">
        <v>263</v>
      </c>
      <c r="GN1" s="12" t="s">
        <v>264</v>
      </c>
      <c r="GO1" s="12" t="s">
        <v>265</v>
      </c>
      <c r="GP1" s="12" t="s">
        <v>266</v>
      </c>
      <c r="GQ1" s="12" t="s">
        <v>267</v>
      </c>
      <c r="GR1" s="12" t="s">
        <v>268</v>
      </c>
      <c r="GS1" s="12" t="s">
        <v>269</v>
      </c>
      <c r="GT1" s="12" t="s">
        <v>270</v>
      </c>
      <c r="GU1" s="12" t="s">
        <v>271</v>
      </c>
      <c r="GV1" s="12" t="s">
        <v>272</v>
      </c>
      <c r="GW1" s="12" t="s">
        <v>273</v>
      </c>
      <c r="GX1" s="12" t="s">
        <v>274</v>
      </c>
      <c r="GY1" s="12" t="s">
        <v>275</v>
      </c>
      <c r="GZ1" s="12" t="s">
        <v>276</v>
      </c>
      <c r="HA1" s="12" t="s">
        <v>277</v>
      </c>
      <c r="HB1" s="12" t="s">
        <v>278</v>
      </c>
      <c r="HC1" s="12" t="s">
        <v>279</v>
      </c>
      <c r="HD1" s="12" t="s">
        <v>280</v>
      </c>
      <c r="HE1" s="12" t="s">
        <v>281</v>
      </c>
      <c r="HF1" s="12" t="s">
        <v>282</v>
      </c>
      <c r="HG1" s="12" t="s">
        <v>283</v>
      </c>
      <c r="HH1" s="12" t="s">
        <v>284</v>
      </c>
      <c r="HI1" s="12" t="s">
        <v>285</v>
      </c>
      <c r="HJ1" s="12" t="s">
        <v>286</v>
      </c>
      <c r="HK1" s="12" t="s">
        <v>287</v>
      </c>
      <c r="HL1" s="12" t="s">
        <v>288</v>
      </c>
      <c r="HM1" s="12" t="s">
        <v>289</v>
      </c>
      <c r="HN1" s="12" t="s">
        <v>290</v>
      </c>
      <c r="HO1" s="12" t="s">
        <v>291</v>
      </c>
      <c r="HP1" s="12" t="s">
        <v>292</v>
      </c>
      <c r="HQ1" s="12" t="s">
        <v>293</v>
      </c>
      <c r="HR1" s="12" t="s">
        <v>294</v>
      </c>
      <c r="HS1" s="12" t="s">
        <v>295</v>
      </c>
      <c r="HT1" s="12" t="s">
        <v>296</v>
      </c>
      <c r="HU1" s="12" t="s">
        <v>297</v>
      </c>
      <c r="HV1" s="12" t="s">
        <v>298</v>
      </c>
      <c r="HW1" s="12" t="s">
        <v>299</v>
      </c>
      <c r="HX1" s="12" t="s">
        <v>300</v>
      </c>
      <c r="HY1" s="12" t="s">
        <v>301</v>
      </c>
      <c r="HZ1" s="12" t="s">
        <v>302</v>
      </c>
      <c r="IA1" s="12" t="s">
        <v>303</v>
      </c>
      <c r="IB1" s="12" t="s">
        <v>304</v>
      </c>
      <c r="IC1" s="12" t="s">
        <v>305</v>
      </c>
      <c r="ID1" s="12" t="s">
        <v>306</v>
      </c>
      <c r="IE1" s="12" t="s">
        <v>307</v>
      </c>
      <c r="IF1" s="12" t="s">
        <v>308</v>
      </c>
      <c r="IG1" s="12" t="s">
        <v>309</v>
      </c>
      <c r="IH1" s="12" t="s">
        <v>310</v>
      </c>
      <c r="II1" s="12" t="s">
        <v>311</v>
      </c>
      <c r="IJ1" s="12" t="s">
        <v>312</v>
      </c>
      <c r="IK1" s="12" t="s">
        <v>313</v>
      </c>
      <c r="IL1" s="12" t="s">
        <v>314</v>
      </c>
      <c r="IM1" s="12" t="s">
        <v>315</v>
      </c>
      <c r="IN1" s="12" t="s">
        <v>316</v>
      </c>
      <c r="IO1" s="12" t="s">
        <v>317</v>
      </c>
      <c r="IP1" s="12" t="s">
        <v>318</v>
      </c>
      <c r="IQ1" s="12" t="s">
        <v>319</v>
      </c>
      <c r="IR1" s="12" t="s">
        <v>320</v>
      </c>
      <c r="IS1" s="12" t="s">
        <v>321</v>
      </c>
      <c r="IT1" s="12" t="s">
        <v>322</v>
      </c>
      <c r="IU1" s="12" t="s">
        <v>323</v>
      </c>
      <c r="IV1" s="12" t="s">
        <v>324</v>
      </c>
      <c r="IW1" s="12" t="s">
        <v>325</v>
      </c>
      <c r="IX1" s="12" t="s">
        <v>326</v>
      </c>
      <c r="IY1" s="12" t="s">
        <v>327</v>
      </c>
      <c r="IZ1" s="12" t="s">
        <v>328</v>
      </c>
      <c r="JA1" s="12" t="s">
        <v>329</v>
      </c>
      <c r="JB1" s="12" t="s">
        <v>330</v>
      </c>
      <c r="JC1" s="12" t="s">
        <v>331</v>
      </c>
      <c r="JD1" s="12" t="s">
        <v>332</v>
      </c>
      <c r="JE1" s="12" t="s">
        <v>333</v>
      </c>
      <c r="JF1" s="12" t="s">
        <v>334</v>
      </c>
      <c r="JG1" s="12" t="s">
        <v>335</v>
      </c>
      <c r="JH1" s="12" t="s">
        <v>336</v>
      </c>
      <c r="JI1" s="12" t="s">
        <v>337</v>
      </c>
    </row>
    <row r="2" spans="1:269" ht="15.75" x14ac:dyDescent="0.5">
      <c r="A2" t="s">
        <v>1</v>
      </c>
      <c r="B2" s="43">
        <v>169</v>
      </c>
      <c r="C2" s="9">
        <v>30.273972602739725</v>
      </c>
      <c r="D2" t="s">
        <v>73</v>
      </c>
      <c r="E2" t="s">
        <v>71</v>
      </c>
      <c r="F2" t="s">
        <v>396</v>
      </c>
      <c r="G2" t="s">
        <v>339</v>
      </c>
      <c r="H2">
        <v>0</v>
      </c>
      <c r="I2">
        <v>0</v>
      </c>
      <c r="J2">
        <v>6</v>
      </c>
      <c r="K2">
        <v>0</v>
      </c>
      <c r="L2">
        <v>0</v>
      </c>
      <c r="M2" t="s">
        <v>340</v>
      </c>
      <c r="N2">
        <v>4</v>
      </c>
      <c r="O2" t="s">
        <v>339</v>
      </c>
      <c r="P2">
        <v>24</v>
      </c>
      <c r="Q2">
        <v>2</v>
      </c>
      <c r="R2" s="5">
        <v>2011</v>
      </c>
      <c r="S2" s="5">
        <f>2022-R2</f>
        <v>11</v>
      </c>
      <c r="T2" s="5"/>
      <c r="AA2" t="s">
        <v>341</v>
      </c>
      <c r="AB2">
        <v>200</v>
      </c>
      <c r="AC2">
        <v>2011</v>
      </c>
      <c r="AD2" s="5">
        <v>1</v>
      </c>
      <c r="AE2" t="s">
        <v>342</v>
      </c>
      <c r="AF2" t="s">
        <v>342</v>
      </c>
      <c r="AG2" t="s">
        <v>397</v>
      </c>
      <c r="AH2">
        <v>1</v>
      </c>
      <c r="AI2" t="s">
        <v>342</v>
      </c>
      <c r="AJ2" t="s">
        <v>341</v>
      </c>
      <c r="AK2" t="s">
        <v>398</v>
      </c>
      <c r="AL2" t="s">
        <v>399</v>
      </c>
      <c r="AT2" t="s">
        <v>341</v>
      </c>
      <c r="AU2">
        <v>400</v>
      </c>
      <c r="AV2" t="s">
        <v>400</v>
      </c>
      <c r="CN2" t="s">
        <v>342</v>
      </c>
      <c r="CO2" t="s">
        <v>342</v>
      </c>
      <c r="CQ2" t="s">
        <v>342</v>
      </c>
      <c r="CS2" t="s">
        <v>342</v>
      </c>
      <c r="CV2" t="s">
        <v>342</v>
      </c>
      <c r="CX2" t="s">
        <v>342</v>
      </c>
      <c r="CY2" t="s">
        <v>347</v>
      </c>
      <c r="CZ2" t="s">
        <v>347</v>
      </c>
      <c r="DA2" t="s">
        <v>347</v>
      </c>
      <c r="DC2" t="s">
        <v>342</v>
      </c>
      <c r="DF2">
        <v>0</v>
      </c>
      <c r="DG2" t="s">
        <v>342</v>
      </c>
      <c r="DH2" t="s">
        <v>342</v>
      </c>
      <c r="DJ2" t="s">
        <v>342</v>
      </c>
      <c r="DM2" t="s">
        <v>348</v>
      </c>
      <c r="DO2" t="s">
        <v>401</v>
      </c>
      <c r="DP2" s="5">
        <v>2</v>
      </c>
      <c r="DQ2" s="5">
        <v>2</v>
      </c>
      <c r="DR2" s="5">
        <v>2</v>
      </c>
      <c r="DS2" s="5"/>
      <c r="DT2" s="5"/>
      <c r="DU2" s="5"/>
      <c r="DV2" s="5"/>
      <c r="DW2" s="5"/>
      <c r="DX2" s="5"/>
      <c r="DY2" s="5"/>
      <c r="DZ2" s="5">
        <v>2</v>
      </c>
      <c r="EA2" s="5" t="s">
        <v>342</v>
      </c>
      <c r="EB2" s="5" t="s">
        <v>342</v>
      </c>
      <c r="EC2" s="5" t="s">
        <v>342</v>
      </c>
      <c r="ED2" t="s">
        <v>342</v>
      </c>
      <c r="EE2" s="5" t="s">
        <v>342</v>
      </c>
      <c r="EF2" s="5"/>
      <c r="EG2" s="5"/>
      <c r="EH2" s="5"/>
      <c r="EI2" s="5"/>
      <c r="EJ2" s="5"/>
      <c r="EK2" s="5"/>
      <c r="EL2" s="5">
        <v>2</v>
      </c>
      <c r="EM2" s="5"/>
      <c r="EN2" s="5"/>
      <c r="EO2" s="5"/>
      <c r="EP2" s="5">
        <v>0</v>
      </c>
      <c r="EQ2" t="s">
        <v>342</v>
      </c>
      <c r="ER2" t="s">
        <v>341</v>
      </c>
      <c r="ES2" t="s">
        <v>341</v>
      </c>
      <c r="ET2" t="s">
        <v>342</v>
      </c>
      <c r="EU2" t="s">
        <v>341</v>
      </c>
      <c r="EV2" t="s">
        <v>341</v>
      </c>
      <c r="EX2" t="s">
        <v>361</v>
      </c>
      <c r="EY2">
        <v>4.5999999999999996</v>
      </c>
      <c r="EZ2">
        <v>137</v>
      </c>
      <c r="FA2">
        <v>315</v>
      </c>
      <c r="FB2" s="3" t="s">
        <v>341</v>
      </c>
      <c r="FC2">
        <v>1.8</v>
      </c>
      <c r="FD2" t="s">
        <v>342</v>
      </c>
      <c r="FE2">
        <v>2.2000000000000002</v>
      </c>
      <c r="FF2">
        <v>0.4</v>
      </c>
      <c r="FG2">
        <v>0.2</v>
      </c>
      <c r="FH2">
        <v>0</v>
      </c>
      <c r="FI2">
        <v>6.4</v>
      </c>
      <c r="FJ2">
        <v>72</v>
      </c>
      <c r="FK2" t="s">
        <v>350</v>
      </c>
      <c r="FL2">
        <v>27</v>
      </c>
      <c r="FM2" t="s">
        <v>402</v>
      </c>
      <c r="GC2">
        <v>46</v>
      </c>
      <c r="GD2" t="s">
        <v>362</v>
      </c>
      <c r="GE2">
        <v>1.01</v>
      </c>
      <c r="GF2">
        <v>0.09</v>
      </c>
      <c r="GI2">
        <v>0</v>
      </c>
      <c r="GK2">
        <v>0</v>
      </c>
      <c r="GL2">
        <v>0</v>
      </c>
      <c r="GQ2">
        <v>0</v>
      </c>
      <c r="GT2">
        <v>0.5</v>
      </c>
      <c r="GW2" t="s">
        <v>62</v>
      </c>
      <c r="GX2">
        <v>2.0099999999999998</v>
      </c>
      <c r="GY2">
        <v>12.9</v>
      </c>
      <c r="GZ2">
        <v>5.6000000000000001E-2</v>
      </c>
      <c r="HA2">
        <v>59</v>
      </c>
      <c r="HB2">
        <v>28</v>
      </c>
      <c r="HC2">
        <v>68.3</v>
      </c>
      <c r="HD2" s="20">
        <v>5.2900000000000004E-3</v>
      </c>
      <c r="HE2">
        <v>1.26</v>
      </c>
      <c r="HF2">
        <v>5.83</v>
      </c>
      <c r="HG2">
        <v>61.6</v>
      </c>
      <c r="HH2">
        <v>32.799999999999997</v>
      </c>
      <c r="HI2">
        <v>11.9</v>
      </c>
      <c r="HJ2">
        <v>42.3</v>
      </c>
      <c r="HK2">
        <v>21.5</v>
      </c>
      <c r="HL2">
        <v>22.9</v>
      </c>
      <c r="HM2">
        <v>38.4</v>
      </c>
      <c r="HN2">
        <v>63.7</v>
      </c>
      <c r="HO2">
        <v>2.39</v>
      </c>
      <c r="HP2">
        <v>27.1</v>
      </c>
      <c r="HQ2">
        <v>4.05</v>
      </c>
      <c r="HR2">
        <v>42</v>
      </c>
      <c r="HS2">
        <v>6.98</v>
      </c>
      <c r="HT2">
        <v>48.8</v>
      </c>
      <c r="HU2">
        <v>0.42</v>
      </c>
      <c r="HV2">
        <v>49.8</v>
      </c>
      <c r="HW2">
        <v>0.96</v>
      </c>
      <c r="HX2">
        <v>27.5</v>
      </c>
      <c r="HY2">
        <v>2.19</v>
      </c>
      <c r="HZ2">
        <v>23.2</v>
      </c>
      <c r="IA2">
        <v>23.1</v>
      </c>
      <c r="IB2">
        <v>51.4</v>
      </c>
      <c r="IC2">
        <v>26.7</v>
      </c>
      <c r="ID2">
        <v>9.2100000000000009</v>
      </c>
      <c r="IE2">
        <v>13</v>
      </c>
      <c r="IF2">
        <v>69.2</v>
      </c>
      <c r="IG2">
        <v>6.54</v>
      </c>
      <c r="IH2">
        <v>10.5</v>
      </c>
      <c r="II2">
        <v>37.5</v>
      </c>
      <c r="IJ2">
        <v>0.4</v>
      </c>
      <c r="IK2">
        <v>2.0099999999999998</v>
      </c>
      <c r="IL2">
        <v>2.72</v>
      </c>
      <c r="IM2">
        <v>2.4700000000000002</v>
      </c>
      <c r="IN2">
        <v>94.6</v>
      </c>
      <c r="IO2">
        <v>3.11</v>
      </c>
      <c r="IP2">
        <v>1.1499999999999999</v>
      </c>
      <c r="IQ2">
        <v>95.6</v>
      </c>
      <c r="IR2">
        <v>0.34</v>
      </c>
      <c r="IS2">
        <v>35</v>
      </c>
      <c r="IT2">
        <v>9.76</v>
      </c>
      <c r="IU2">
        <v>47.8</v>
      </c>
      <c r="IV2">
        <v>0.82</v>
      </c>
      <c r="IW2">
        <v>18.8</v>
      </c>
      <c r="IX2">
        <v>64.2</v>
      </c>
      <c r="IY2">
        <v>66.099999999999994</v>
      </c>
      <c r="IZ2">
        <v>0.2</v>
      </c>
      <c r="JA2">
        <v>3.93</v>
      </c>
      <c r="JB2">
        <v>26.2</v>
      </c>
      <c r="JC2">
        <v>36.200000000000003</v>
      </c>
      <c r="JD2">
        <v>842</v>
      </c>
      <c r="JE2">
        <v>917</v>
      </c>
      <c r="JF2">
        <v>628</v>
      </c>
      <c r="JG2">
        <v>907</v>
      </c>
      <c r="JH2">
        <v>291</v>
      </c>
      <c r="JI2">
        <v>0.7</v>
      </c>
    </row>
    <row r="3" spans="1:269" ht="15.75" x14ac:dyDescent="0.5">
      <c r="A3" t="s">
        <v>1</v>
      </c>
      <c r="B3" s="43">
        <v>135</v>
      </c>
      <c r="C3" s="9">
        <v>29.391780821917809</v>
      </c>
      <c r="D3" t="s">
        <v>74</v>
      </c>
      <c r="E3" t="s">
        <v>71</v>
      </c>
      <c r="F3" t="s">
        <v>376</v>
      </c>
      <c r="G3" t="s">
        <v>340</v>
      </c>
      <c r="H3">
        <v>4</v>
      </c>
      <c r="I3">
        <v>0</v>
      </c>
      <c r="J3">
        <v>4</v>
      </c>
      <c r="K3">
        <v>0</v>
      </c>
      <c r="L3">
        <v>10</v>
      </c>
      <c r="M3" t="s">
        <v>340</v>
      </c>
      <c r="N3">
        <v>4</v>
      </c>
      <c r="O3" t="s">
        <v>339</v>
      </c>
      <c r="P3">
        <v>28</v>
      </c>
      <c r="Q3">
        <v>0</v>
      </c>
      <c r="R3" s="5">
        <v>2007</v>
      </c>
      <c r="S3" s="5">
        <f>2022-R3</f>
        <v>15</v>
      </c>
      <c r="T3" s="5"/>
      <c r="AA3" t="s">
        <v>341</v>
      </c>
      <c r="AB3">
        <v>200</v>
      </c>
      <c r="AC3">
        <v>2007</v>
      </c>
      <c r="AD3" s="5">
        <v>0</v>
      </c>
      <c r="AE3" t="s">
        <v>342</v>
      </c>
      <c r="AF3" t="s">
        <v>342</v>
      </c>
      <c r="AH3">
        <v>0</v>
      </c>
      <c r="AI3" t="s">
        <v>342</v>
      </c>
      <c r="CS3" t="s">
        <v>342</v>
      </c>
      <c r="CV3" t="s">
        <v>342</v>
      </c>
      <c r="CX3" t="s">
        <v>342</v>
      </c>
      <c r="CY3" t="s">
        <v>347</v>
      </c>
      <c r="CZ3" t="s">
        <v>347</v>
      </c>
      <c r="DA3" t="s">
        <v>347</v>
      </c>
      <c r="DC3" t="s">
        <v>342</v>
      </c>
      <c r="DF3">
        <v>0</v>
      </c>
      <c r="DG3" t="s">
        <v>342</v>
      </c>
      <c r="DH3" t="s">
        <v>342</v>
      </c>
      <c r="DJ3" t="s">
        <v>342</v>
      </c>
      <c r="DM3" t="s">
        <v>348</v>
      </c>
      <c r="DO3" t="s">
        <v>377</v>
      </c>
      <c r="DP3" s="5">
        <v>1</v>
      </c>
      <c r="DQ3" s="5">
        <v>0</v>
      </c>
      <c r="DR3" s="5">
        <v>0</v>
      </c>
      <c r="DS3" s="5" t="s">
        <v>378</v>
      </c>
      <c r="DT3" s="5"/>
      <c r="DU3" s="5">
        <v>1</v>
      </c>
      <c r="DV3" s="5"/>
      <c r="DW3" s="5"/>
      <c r="DX3" s="5"/>
      <c r="DY3" s="5"/>
      <c r="DZ3" s="5"/>
      <c r="EA3" s="5" t="s">
        <v>342</v>
      </c>
      <c r="EB3" s="5" t="s">
        <v>341</v>
      </c>
      <c r="EC3" s="5" t="s">
        <v>342</v>
      </c>
      <c r="ED3" t="s">
        <v>342</v>
      </c>
      <c r="EE3" s="5" t="s">
        <v>342</v>
      </c>
      <c r="EF3" s="5"/>
      <c r="EG3" s="5"/>
      <c r="EH3" s="5"/>
      <c r="EI3" s="5"/>
      <c r="EJ3" s="5"/>
      <c r="EK3" s="5"/>
      <c r="EL3" s="5">
        <v>1</v>
      </c>
      <c r="EM3" s="5"/>
      <c r="EN3" s="5"/>
      <c r="EO3" s="5"/>
      <c r="EP3" s="5">
        <v>1</v>
      </c>
      <c r="EQ3" t="s">
        <v>342</v>
      </c>
      <c r="ER3" t="s">
        <v>341</v>
      </c>
      <c r="ES3" t="s">
        <v>341</v>
      </c>
      <c r="ET3" t="s">
        <v>342</v>
      </c>
      <c r="EU3" t="s">
        <v>341</v>
      </c>
      <c r="EV3" t="s">
        <v>341</v>
      </c>
      <c r="EX3" t="s">
        <v>361</v>
      </c>
      <c r="EY3">
        <v>6.2</v>
      </c>
      <c r="EZ3">
        <v>150</v>
      </c>
      <c r="FA3">
        <v>291</v>
      </c>
      <c r="FB3" t="s">
        <v>342</v>
      </c>
      <c r="FC3">
        <v>4</v>
      </c>
      <c r="FD3" t="s">
        <v>342</v>
      </c>
      <c r="FE3">
        <v>1.6</v>
      </c>
      <c r="FF3">
        <v>0.4</v>
      </c>
      <c r="FG3">
        <v>0.1</v>
      </c>
      <c r="FH3">
        <v>0.1</v>
      </c>
      <c r="FI3">
        <v>5</v>
      </c>
      <c r="FJ3">
        <v>60</v>
      </c>
      <c r="FK3" t="s">
        <v>350</v>
      </c>
      <c r="FL3">
        <v>5</v>
      </c>
      <c r="FM3">
        <v>0</v>
      </c>
      <c r="GC3">
        <v>0</v>
      </c>
      <c r="GD3" t="s">
        <v>351</v>
      </c>
      <c r="GE3">
        <v>0.83</v>
      </c>
      <c r="GF3">
        <v>0.23</v>
      </c>
      <c r="GP3">
        <v>0</v>
      </c>
      <c r="GQ3">
        <v>0</v>
      </c>
      <c r="GW3" t="s">
        <v>59</v>
      </c>
      <c r="GX3">
        <v>12.4</v>
      </c>
      <c r="GY3">
        <v>3.63</v>
      </c>
      <c r="GZ3" s="20">
        <v>9.92E-3</v>
      </c>
      <c r="HA3">
        <v>47.3</v>
      </c>
      <c r="HB3">
        <v>49.1</v>
      </c>
      <c r="HC3">
        <v>63.7</v>
      </c>
      <c r="HD3">
        <v>0.01</v>
      </c>
      <c r="HE3">
        <v>1.4</v>
      </c>
      <c r="HF3">
        <v>8.15</v>
      </c>
      <c r="HG3">
        <v>54.4</v>
      </c>
      <c r="HH3">
        <v>25.7</v>
      </c>
      <c r="HI3">
        <v>7.06</v>
      </c>
      <c r="HJ3">
        <v>44.9</v>
      </c>
      <c r="HK3">
        <v>30.8</v>
      </c>
      <c r="HL3">
        <v>14.4</v>
      </c>
      <c r="HM3">
        <v>40.4</v>
      </c>
      <c r="HN3">
        <v>53.6</v>
      </c>
      <c r="HO3">
        <v>5.92</v>
      </c>
      <c r="HP3">
        <v>21.9</v>
      </c>
      <c r="HQ3">
        <v>9.59</v>
      </c>
      <c r="HR3">
        <v>43.2</v>
      </c>
      <c r="HS3">
        <v>6.86</v>
      </c>
      <c r="HT3">
        <v>42.9</v>
      </c>
      <c r="HU3">
        <v>2.66</v>
      </c>
      <c r="HV3">
        <v>42.4</v>
      </c>
      <c r="HW3">
        <v>12</v>
      </c>
      <c r="HX3">
        <v>27.8</v>
      </c>
      <c r="HY3">
        <v>3.91</v>
      </c>
      <c r="HZ3">
        <v>24.3</v>
      </c>
      <c r="IA3">
        <v>26.8</v>
      </c>
      <c r="IB3">
        <v>45</v>
      </c>
      <c r="IC3">
        <v>19.3</v>
      </c>
      <c r="ID3">
        <v>6.83</v>
      </c>
      <c r="IE3">
        <v>23.3</v>
      </c>
      <c r="IF3">
        <v>53.2</v>
      </c>
      <c r="IG3">
        <v>12</v>
      </c>
      <c r="IH3">
        <v>29.2</v>
      </c>
      <c r="II3">
        <v>34</v>
      </c>
      <c r="IJ3">
        <v>1.4</v>
      </c>
      <c r="IK3">
        <v>2.15</v>
      </c>
      <c r="IL3">
        <v>2.17</v>
      </c>
      <c r="IM3">
        <v>2.44</v>
      </c>
      <c r="IN3">
        <v>76.3</v>
      </c>
      <c r="IO3">
        <v>20.8</v>
      </c>
      <c r="IP3">
        <v>2.68</v>
      </c>
      <c r="IQ3">
        <v>91.1</v>
      </c>
      <c r="IR3">
        <v>6</v>
      </c>
      <c r="IS3">
        <v>27.7</v>
      </c>
      <c r="IT3">
        <v>1.7</v>
      </c>
      <c r="IU3">
        <v>64.599999999999994</v>
      </c>
      <c r="IV3">
        <v>0.28999999999999998</v>
      </c>
      <c r="IW3">
        <v>3.64</v>
      </c>
      <c r="IX3">
        <v>74.7</v>
      </c>
      <c r="IY3">
        <v>77.7</v>
      </c>
      <c r="IZ3">
        <v>0.18</v>
      </c>
      <c r="JA3">
        <v>2.68</v>
      </c>
      <c r="JB3">
        <v>40.5</v>
      </c>
      <c r="JC3">
        <v>-36.9</v>
      </c>
      <c r="JD3">
        <v>384</v>
      </c>
      <c r="JE3">
        <v>328</v>
      </c>
      <c r="JF3">
        <v>314</v>
      </c>
      <c r="JG3">
        <v>1082</v>
      </c>
      <c r="JH3">
        <v>131</v>
      </c>
      <c r="JI3">
        <v>7.1</v>
      </c>
    </row>
    <row r="4" spans="1:269" ht="15.75" x14ac:dyDescent="0.5">
      <c r="A4" t="s">
        <v>1</v>
      </c>
      <c r="B4" s="43">
        <v>146</v>
      </c>
      <c r="C4" s="9">
        <v>71.490410958904107</v>
      </c>
      <c r="D4" s="5" t="s">
        <v>74</v>
      </c>
      <c r="E4" t="s">
        <v>71</v>
      </c>
      <c r="F4" t="s">
        <v>379</v>
      </c>
      <c r="G4" t="s">
        <v>340</v>
      </c>
      <c r="H4">
        <v>0</v>
      </c>
      <c r="I4">
        <v>0</v>
      </c>
      <c r="J4">
        <v>0</v>
      </c>
      <c r="K4">
        <v>0</v>
      </c>
      <c r="L4">
        <v>0</v>
      </c>
      <c r="M4" t="s">
        <v>340</v>
      </c>
      <c r="N4">
        <v>4</v>
      </c>
      <c r="O4" t="s">
        <v>339</v>
      </c>
      <c r="P4">
        <v>16</v>
      </c>
      <c r="Q4">
        <v>6</v>
      </c>
      <c r="R4" s="5">
        <v>2014</v>
      </c>
      <c r="S4" s="5">
        <f>2022-R4</f>
        <v>8</v>
      </c>
      <c r="AD4" s="5">
        <v>1</v>
      </c>
      <c r="AE4" t="s">
        <v>342</v>
      </c>
      <c r="AF4" t="s">
        <v>342</v>
      </c>
      <c r="AG4" t="s">
        <v>380</v>
      </c>
      <c r="AH4">
        <v>3</v>
      </c>
      <c r="AI4" t="s">
        <v>342</v>
      </c>
      <c r="CN4" t="s">
        <v>342</v>
      </c>
      <c r="CO4" t="s">
        <v>342</v>
      </c>
      <c r="CQ4" t="s">
        <v>342</v>
      </c>
      <c r="CS4" t="s">
        <v>341</v>
      </c>
      <c r="CT4" t="s">
        <v>381</v>
      </c>
      <c r="CV4" t="s">
        <v>342</v>
      </c>
      <c r="CX4" t="s">
        <v>341</v>
      </c>
      <c r="CY4" t="s">
        <v>382</v>
      </c>
      <c r="CZ4" t="s">
        <v>382</v>
      </c>
      <c r="DA4" t="s">
        <v>382</v>
      </c>
      <c r="DB4" t="s">
        <v>383</v>
      </c>
      <c r="DC4" t="s">
        <v>341</v>
      </c>
      <c r="DD4" t="s">
        <v>341</v>
      </c>
      <c r="DE4" t="s">
        <v>384</v>
      </c>
      <c r="DG4" t="s">
        <v>342</v>
      </c>
      <c r="DH4" t="s">
        <v>342</v>
      </c>
      <c r="DJ4" t="s">
        <v>342</v>
      </c>
      <c r="DM4" t="s">
        <v>348</v>
      </c>
      <c r="DO4" t="s">
        <v>385</v>
      </c>
      <c r="DP4">
        <v>1</v>
      </c>
      <c r="DQ4">
        <v>1</v>
      </c>
      <c r="DR4">
        <v>1</v>
      </c>
      <c r="DZ4">
        <v>1</v>
      </c>
      <c r="EA4" t="s">
        <v>342</v>
      </c>
      <c r="EB4" t="s">
        <v>342</v>
      </c>
      <c r="EC4" t="s">
        <v>342</v>
      </c>
      <c r="ED4" t="s">
        <v>342</v>
      </c>
      <c r="EE4" s="5" t="s">
        <v>342</v>
      </c>
      <c r="EL4">
        <v>1</v>
      </c>
      <c r="EP4">
        <v>0</v>
      </c>
      <c r="EQ4" t="s">
        <v>342</v>
      </c>
      <c r="ER4" t="s">
        <v>341</v>
      </c>
      <c r="ES4" t="s">
        <v>341</v>
      </c>
      <c r="ET4" t="s">
        <v>342</v>
      </c>
      <c r="EU4" t="s">
        <v>342</v>
      </c>
      <c r="EV4" t="s">
        <v>341</v>
      </c>
      <c r="EW4">
        <v>4</v>
      </c>
      <c r="EX4" t="s">
        <v>386</v>
      </c>
      <c r="EY4">
        <v>6.5</v>
      </c>
      <c r="EZ4">
        <v>114</v>
      </c>
      <c r="FA4">
        <v>365</v>
      </c>
      <c r="FB4" t="s">
        <v>342</v>
      </c>
      <c r="FC4">
        <v>3.8</v>
      </c>
      <c r="FD4" t="s">
        <v>342</v>
      </c>
      <c r="FE4">
        <v>2.1</v>
      </c>
      <c r="FF4">
        <v>0.4</v>
      </c>
      <c r="FG4">
        <v>0.2</v>
      </c>
      <c r="FH4">
        <v>0.1</v>
      </c>
      <c r="FI4">
        <v>4</v>
      </c>
      <c r="FJ4">
        <v>55</v>
      </c>
      <c r="FK4">
        <v>90</v>
      </c>
      <c r="FL4">
        <v>54</v>
      </c>
      <c r="FM4">
        <v>0</v>
      </c>
      <c r="GC4">
        <v>0</v>
      </c>
      <c r="GD4" t="s">
        <v>351</v>
      </c>
      <c r="GE4">
        <v>0.86</v>
      </c>
      <c r="GF4">
        <v>0.24</v>
      </c>
      <c r="GT4">
        <v>3</v>
      </c>
      <c r="GW4" s="3" t="s">
        <v>60</v>
      </c>
      <c r="GX4" s="3">
        <v>4.46</v>
      </c>
      <c r="GY4" s="3">
        <v>5.0999999999999996</v>
      </c>
      <c r="GZ4" s="3">
        <v>1.33</v>
      </c>
      <c r="HA4" s="3">
        <v>46.1</v>
      </c>
      <c r="HB4" s="3">
        <v>47.3</v>
      </c>
      <c r="HC4" s="3">
        <v>85.6</v>
      </c>
      <c r="HD4" s="3">
        <v>2.8000000000000001E-2</v>
      </c>
      <c r="HE4" s="3">
        <v>1.37</v>
      </c>
      <c r="HF4" s="3">
        <v>0.68</v>
      </c>
      <c r="HG4" s="3">
        <v>83.6</v>
      </c>
      <c r="HH4" s="3">
        <v>34.299999999999997</v>
      </c>
      <c r="HI4" s="3">
        <v>3.38</v>
      </c>
      <c r="HJ4" s="3">
        <v>3.23</v>
      </c>
      <c r="HK4" s="3">
        <v>17.8</v>
      </c>
      <c r="HL4" s="3">
        <v>73.8</v>
      </c>
      <c r="HM4" s="3">
        <v>87.1</v>
      </c>
      <c r="HN4" s="3">
        <v>52.5</v>
      </c>
      <c r="HO4" s="3">
        <v>6.07</v>
      </c>
      <c r="HP4" s="3">
        <v>16.7</v>
      </c>
      <c r="HQ4" s="3">
        <v>24.8</v>
      </c>
      <c r="HR4" s="3">
        <v>2.9</v>
      </c>
      <c r="HS4" s="3">
        <v>6.02</v>
      </c>
      <c r="HT4" s="3">
        <v>46.8</v>
      </c>
      <c r="HU4" s="3">
        <v>6.85</v>
      </c>
      <c r="HV4" s="3">
        <v>25</v>
      </c>
      <c r="HW4" s="3">
        <v>21.3</v>
      </c>
      <c r="HX4" s="3">
        <v>48.7</v>
      </c>
      <c r="HY4" s="3">
        <v>1.4</v>
      </c>
      <c r="HZ4" s="3">
        <v>28.5</v>
      </c>
      <c r="IA4" s="3">
        <v>68.099999999999994</v>
      </c>
      <c r="IB4" s="3">
        <v>1.1599999999999999</v>
      </c>
      <c r="IC4" s="3">
        <v>2.89</v>
      </c>
      <c r="ID4" s="3">
        <v>36.200000000000003</v>
      </c>
      <c r="IE4" s="3">
        <v>13.3</v>
      </c>
      <c r="IF4" s="3">
        <v>16.100000000000001</v>
      </c>
      <c r="IG4" s="3">
        <v>28.6</v>
      </c>
      <c r="IH4" s="3">
        <v>19</v>
      </c>
      <c r="II4" s="3">
        <v>22.4</v>
      </c>
      <c r="IJ4" s="3">
        <v>6.28</v>
      </c>
      <c r="IK4" s="3">
        <v>8.01</v>
      </c>
      <c r="IL4" s="3">
        <v>0.86</v>
      </c>
      <c r="IM4" s="3">
        <v>0.84</v>
      </c>
      <c r="IN4" s="3">
        <v>51.9</v>
      </c>
      <c r="IO4" s="3">
        <v>23.9</v>
      </c>
      <c r="IP4" s="3">
        <v>23.7</v>
      </c>
      <c r="IQ4" s="3">
        <v>71.400000000000006</v>
      </c>
      <c r="IR4" s="3">
        <v>27.2</v>
      </c>
      <c r="IS4" s="3">
        <v>1.57</v>
      </c>
      <c r="IT4" s="3">
        <v>4.33</v>
      </c>
      <c r="IU4" s="3">
        <v>91</v>
      </c>
      <c r="IV4" s="3">
        <v>10.8</v>
      </c>
      <c r="IW4" s="3">
        <v>24.8</v>
      </c>
      <c r="IX4" s="3">
        <v>76.5</v>
      </c>
      <c r="IY4" s="3">
        <v>73.900000000000006</v>
      </c>
      <c r="IZ4" s="3">
        <v>3.84</v>
      </c>
      <c r="JA4" s="3">
        <v>8.2200000000000006</v>
      </c>
      <c r="JB4" s="3">
        <v>81.099999999999994</v>
      </c>
      <c r="JC4" s="3">
        <v>99</v>
      </c>
      <c r="JD4" s="3">
        <v>736</v>
      </c>
      <c r="JE4" s="3">
        <v>488</v>
      </c>
      <c r="JF4" s="3">
        <v>339</v>
      </c>
      <c r="JG4" s="3">
        <v>259</v>
      </c>
      <c r="JH4" s="3">
        <v>150</v>
      </c>
      <c r="JI4" s="3">
        <v>-4.5199999999999996</v>
      </c>
    </row>
    <row r="5" spans="1:269" ht="15.75" x14ac:dyDescent="0.5">
      <c r="A5" t="s">
        <v>1</v>
      </c>
      <c r="B5" s="43">
        <v>148</v>
      </c>
      <c r="C5" s="9">
        <v>48.884931506849313</v>
      </c>
      <c r="D5" s="5" t="s">
        <v>75</v>
      </c>
      <c r="E5" t="s">
        <v>71</v>
      </c>
      <c r="F5" t="s">
        <v>387</v>
      </c>
      <c r="G5" t="s">
        <v>340</v>
      </c>
      <c r="H5">
        <v>0</v>
      </c>
      <c r="I5">
        <v>0</v>
      </c>
      <c r="J5">
        <v>4</v>
      </c>
      <c r="K5">
        <v>0</v>
      </c>
      <c r="L5">
        <v>0</v>
      </c>
      <c r="M5" t="s">
        <v>340</v>
      </c>
      <c r="N5">
        <v>0</v>
      </c>
      <c r="O5" t="s">
        <v>340</v>
      </c>
      <c r="P5">
        <v>10</v>
      </c>
      <c r="Q5">
        <v>3</v>
      </c>
      <c r="R5" s="5">
        <v>2002</v>
      </c>
      <c r="S5" s="5">
        <f>2022-R5</f>
        <v>20</v>
      </c>
      <c r="T5" t="s">
        <v>341</v>
      </c>
      <c r="U5">
        <v>2.5</v>
      </c>
      <c r="V5" s="21">
        <v>44105</v>
      </c>
      <c r="AD5" s="5">
        <v>1</v>
      </c>
      <c r="AE5" t="s">
        <v>342</v>
      </c>
      <c r="AF5" t="s">
        <v>342</v>
      </c>
      <c r="AG5" t="s">
        <v>388</v>
      </c>
      <c r="AH5">
        <v>1</v>
      </c>
      <c r="AI5" t="s">
        <v>342</v>
      </c>
      <c r="AJ5" t="s">
        <v>341</v>
      </c>
      <c r="AK5" t="s">
        <v>389</v>
      </c>
      <c r="AL5" t="s">
        <v>390</v>
      </c>
      <c r="AW5" t="s">
        <v>341</v>
      </c>
      <c r="CG5" t="s">
        <v>341</v>
      </c>
      <c r="CH5" t="s">
        <v>391</v>
      </c>
      <c r="CI5" t="s">
        <v>392</v>
      </c>
      <c r="CN5" t="s">
        <v>342</v>
      </c>
      <c r="CO5" t="s">
        <v>342</v>
      </c>
      <c r="CQ5" t="s">
        <v>342</v>
      </c>
      <c r="CS5" t="s">
        <v>342</v>
      </c>
      <c r="CV5" t="s">
        <v>342</v>
      </c>
      <c r="CX5" t="s">
        <v>342</v>
      </c>
      <c r="CY5" t="s">
        <v>347</v>
      </c>
      <c r="CZ5" t="s">
        <v>347</v>
      </c>
      <c r="DA5" t="s">
        <v>347</v>
      </c>
      <c r="DB5" t="s">
        <v>393</v>
      </c>
      <c r="DC5" t="s">
        <v>342</v>
      </c>
      <c r="DF5">
        <v>0</v>
      </c>
      <c r="DG5" t="s">
        <v>342</v>
      </c>
      <c r="DH5" t="s">
        <v>342</v>
      </c>
      <c r="DJ5" t="s">
        <v>342</v>
      </c>
      <c r="DM5" t="s">
        <v>348</v>
      </c>
      <c r="DO5" s="21">
        <v>44682</v>
      </c>
      <c r="DP5">
        <v>1</v>
      </c>
      <c r="DQ5">
        <v>1</v>
      </c>
      <c r="DR5">
        <v>1</v>
      </c>
      <c r="DZ5">
        <v>1</v>
      </c>
      <c r="EA5" t="s">
        <v>342</v>
      </c>
      <c r="EB5" t="s">
        <v>342</v>
      </c>
      <c r="EC5" t="s">
        <v>342</v>
      </c>
      <c r="ED5" t="s">
        <v>342</v>
      </c>
      <c r="EE5" s="5" t="s">
        <v>342</v>
      </c>
      <c r="EL5">
        <v>1</v>
      </c>
      <c r="EP5">
        <v>0</v>
      </c>
      <c r="EQ5" t="s">
        <v>342</v>
      </c>
      <c r="ER5" t="s">
        <v>341</v>
      </c>
      <c r="ES5" t="s">
        <v>341</v>
      </c>
      <c r="ET5" t="s">
        <v>342</v>
      </c>
      <c r="EU5" t="s">
        <v>342</v>
      </c>
      <c r="EV5" t="s">
        <v>341</v>
      </c>
      <c r="EW5">
        <v>2</v>
      </c>
      <c r="EX5" t="s">
        <v>394</v>
      </c>
      <c r="EY5">
        <v>3.6</v>
      </c>
      <c r="EZ5">
        <v>126</v>
      </c>
      <c r="FA5">
        <v>190</v>
      </c>
      <c r="FB5" t="s">
        <v>341</v>
      </c>
      <c r="FC5">
        <v>1.2</v>
      </c>
      <c r="FD5" t="s">
        <v>342</v>
      </c>
      <c r="FE5">
        <v>1.9</v>
      </c>
      <c r="FF5">
        <v>0.4</v>
      </c>
      <c r="FG5">
        <v>0.2</v>
      </c>
      <c r="FH5">
        <v>0</v>
      </c>
      <c r="FI5">
        <v>3.9</v>
      </c>
      <c r="FJ5">
        <v>71</v>
      </c>
      <c r="FK5">
        <v>87</v>
      </c>
      <c r="FL5">
        <v>46</v>
      </c>
      <c r="FM5">
        <v>3</v>
      </c>
      <c r="FN5" t="s">
        <v>342</v>
      </c>
      <c r="FO5">
        <v>31</v>
      </c>
      <c r="FQ5">
        <v>1.58</v>
      </c>
      <c r="GC5">
        <v>42</v>
      </c>
      <c r="GE5">
        <v>1.24</v>
      </c>
      <c r="GF5">
        <v>0.11</v>
      </c>
      <c r="GG5" t="s">
        <v>395</v>
      </c>
      <c r="GH5">
        <v>1.9</v>
      </c>
      <c r="GI5">
        <v>0</v>
      </c>
      <c r="GJ5">
        <v>17</v>
      </c>
      <c r="GK5">
        <v>0</v>
      </c>
      <c r="GL5">
        <v>0</v>
      </c>
      <c r="GM5">
        <v>0</v>
      </c>
      <c r="GP5">
        <v>0</v>
      </c>
      <c r="GQ5">
        <v>0</v>
      </c>
      <c r="GS5">
        <v>14.7</v>
      </c>
      <c r="GW5" s="3" t="s">
        <v>61</v>
      </c>
      <c r="GX5" s="3">
        <v>4.67</v>
      </c>
      <c r="GY5" s="3">
        <v>10.8</v>
      </c>
      <c r="GZ5" s="3">
        <v>0.26</v>
      </c>
      <c r="HA5" s="3">
        <v>57.1</v>
      </c>
      <c r="HB5" s="3">
        <v>31.3</v>
      </c>
      <c r="HC5" s="3">
        <v>70</v>
      </c>
      <c r="HD5" s="3">
        <v>1.4999999999999999E-2</v>
      </c>
      <c r="HE5" s="3">
        <v>0.27</v>
      </c>
      <c r="HF5" s="3">
        <v>4.47</v>
      </c>
      <c r="HG5" s="3">
        <v>65.3</v>
      </c>
      <c r="HH5" s="3">
        <v>45.1</v>
      </c>
      <c r="HI5" s="3">
        <v>6.27</v>
      </c>
      <c r="HJ5" s="3">
        <v>51.5</v>
      </c>
      <c r="HK5" s="3">
        <v>23.3</v>
      </c>
      <c r="HL5" s="3">
        <v>12.8</v>
      </c>
      <c r="HM5" s="3">
        <v>36.1</v>
      </c>
      <c r="HN5" s="3">
        <v>69.8</v>
      </c>
      <c r="HO5" s="3">
        <v>2.62</v>
      </c>
      <c r="HP5" s="3">
        <v>13.4</v>
      </c>
      <c r="HQ5" s="3">
        <v>14.2</v>
      </c>
      <c r="HR5" s="3">
        <v>50.1</v>
      </c>
      <c r="HS5" s="3">
        <v>4.4400000000000004</v>
      </c>
      <c r="HT5" s="3">
        <v>40.9</v>
      </c>
      <c r="HU5" s="3">
        <v>4.4000000000000004</v>
      </c>
      <c r="HV5" s="3">
        <v>45</v>
      </c>
      <c r="HW5" s="3">
        <v>9.69</v>
      </c>
      <c r="HX5" s="3">
        <v>19.100000000000001</v>
      </c>
      <c r="HY5" s="3">
        <v>4.04</v>
      </c>
      <c r="HZ5" s="3">
        <v>12.9</v>
      </c>
      <c r="IA5" s="3">
        <v>59.8</v>
      </c>
      <c r="IB5" s="3">
        <v>19.2</v>
      </c>
      <c r="IC5" s="3">
        <v>20.7</v>
      </c>
      <c r="ID5" s="3">
        <v>8.4700000000000006</v>
      </c>
      <c r="IE5" s="3">
        <v>6.58</v>
      </c>
      <c r="IF5" s="3">
        <v>81.900000000000006</v>
      </c>
      <c r="IG5" s="3">
        <v>2.27</v>
      </c>
      <c r="IH5" s="3">
        <v>12.3</v>
      </c>
      <c r="II5" s="3">
        <v>45.6</v>
      </c>
      <c r="IJ5" s="3">
        <v>0.4</v>
      </c>
      <c r="IK5" s="3">
        <v>4.3099999999999996</v>
      </c>
      <c r="IL5" s="3">
        <v>1.0900000000000001</v>
      </c>
      <c r="IM5" s="3">
        <v>7.27</v>
      </c>
      <c r="IN5" s="3">
        <v>87.7</v>
      </c>
      <c r="IO5" s="3">
        <v>7.38</v>
      </c>
      <c r="IP5" s="3">
        <v>3.32</v>
      </c>
      <c r="IQ5" s="3">
        <v>85.3</v>
      </c>
      <c r="IR5" s="3">
        <v>5.46</v>
      </c>
      <c r="IS5" s="3">
        <v>26.4</v>
      </c>
      <c r="IT5" s="3">
        <v>11.2</v>
      </c>
      <c r="IU5" s="3">
        <v>60.2</v>
      </c>
      <c r="IV5" s="3">
        <v>2.39</v>
      </c>
      <c r="IW5" s="3">
        <v>16.5</v>
      </c>
      <c r="IX5" s="3">
        <v>79.8</v>
      </c>
      <c r="IY5" s="3">
        <v>88.6</v>
      </c>
      <c r="IZ5" s="3">
        <v>1.19</v>
      </c>
      <c r="JA5" s="3">
        <v>4.72</v>
      </c>
      <c r="JB5" s="3">
        <v>39.9</v>
      </c>
      <c r="JC5" s="3">
        <v>20</v>
      </c>
      <c r="JD5" s="3">
        <v>540</v>
      </c>
      <c r="JE5" s="3">
        <v>551</v>
      </c>
      <c r="JF5" s="3">
        <v>409</v>
      </c>
      <c r="JG5" s="3">
        <v>280</v>
      </c>
      <c r="JH5" s="3">
        <v>19.7</v>
      </c>
      <c r="JI5" s="3">
        <v>34.700000000000003</v>
      </c>
    </row>
    <row r="6" spans="1:269" ht="15.75" x14ac:dyDescent="0.5">
      <c r="A6" s="2" t="s">
        <v>1</v>
      </c>
      <c r="B6" s="43">
        <v>128</v>
      </c>
      <c r="C6" s="8">
        <v>27.783561643835615</v>
      </c>
      <c r="D6" s="2" t="s">
        <v>73</v>
      </c>
      <c r="E6" s="2" t="s">
        <v>71</v>
      </c>
      <c r="F6" s="2" t="s">
        <v>364</v>
      </c>
      <c r="G6" s="2" t="s">
        <v>340</v>
      </c>
      <c r="H6" s="2">
        <v>0</v>
      </c>
      <c r="I6" s="2">
        <v>0</v>
      </c>
      <c r="J6" s="2">
        <v>4</v>
      </c>
      <c r="K6" s="2">
        <v>0</v>
      </c>
      <c r="L6" s="2">
        <v>10</v>
      </c>
      <c r="M6" s="2" t="s">
        <v>340</v>
      </c>
      <c r="N6" s="2">
        <v>4</v>
      </c>
      <c r="O6" s="2" t="s">
        <v>339</v>
      </c>
      <c r="P6" s="2">
        <v>30</v>
      </c>
      <c r="Q6" s="2">
        <v>6</v>
      </c>
      <c r="R6" s="18">
        <v>2005</v>
      </c>
      <c r="S6" s="18">
        <f>2022-R6</f>
        <v>17</v>
      </c>
      <c r="T6" s="18" t="s">
        <v>341</v>
      </c>
      <c r="U6" s="2">
        <v>5</v>
      </c>
      <c r="V6" s="19">
        <v>44409</v>
      </c>
      <c r="W6" s="2"/>
      <c r="X6" s="2"/>
      <c r="Y6" s="2"/>
      <c r="Z6" s="2"/>
      <c r="AA6" s="2" t="s">
        <v>341</v>
      </c>
      <c r="AB6" s="2">
        <v>300</v>
      </c>
      <c r="AC6" s="2">
        <v>2005</v>
      </c>
      <c r="AD6" s="18">
        <v>2</v>
      </c>
      <c r="AE6" s="2" t="s">
        <v>341</v>
      </c>
      <c r="AF6" s="2" t="s">
        <v>341</v>
      </c>
      <c r="AG6" s="2" t="s">
        <v>365</v>
      </c>
      <c r="AH6" s="2">
        <v>2</v>
      </c>
      <c r="AI6" s="2" t="s">
        <v>341</v>
      </c>
      <c r="AJ6" s="2" t="s">
        <v>341</v>
      </c>
      <c r="AK6" s="2">
        <v>25</v>
      </c>
      <c r="AL6" s="2" t="s">
        <v>366</v>
      </c>
      <c r="AM6" s="2" t="s">
        <v>341</v>
      </c>
      <c r="AN6" s="2">
        <v>10</v>
      </c>
      <c r="AO6" s="2" t="s">
        <v>367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 t="s">
        <v>341</v>
      </c>
      <c r="BD6" s="2" t="s">
        <v>368</v>
      </c>
      <c r="BE6" s="2" t="s">
        <v>369</v>
      </c>
      <c r="BF6" s="2"/>
      <c r="BG6" s="2"/>
      <c r="BH6" s="2"/>
      <c r="BI6" s="2"/>
      <c r="BJ6" s="2"/>
      <c r="BK6" s="2"/>
      <c r="BL6" s="2"/>
      <c r="BM6" s="2"/>
      <c r="BN6" s="2"/>
      <c r="BO6" s="2" t="s">
        <v>341</v>
      </c>
      <c r="BP6" s="2">
        <v>3000</v>
      </c>
      <c r="BQ6" s="2" t="s">
        <v>370</v>
      </c>
      <c r="BR6" s="2" t="s">
        <v>341</v>
      </c>
      <c r="BS6" s="2">
        <v>1440</v>
      </c>
      <c r="BT6" s="2" t="s">
        <v>371</v>
      </c>
      <c r="BU6" s="2"/>
      <c r="BV6" s="2"/>
      <c r="BW6" s="2"/>
      <c r="BX6" s="2"/>
      <c r="BY6" s="2"/>
      <c r="BZ6" s="2"/>
      <c r="CA6" s="2" t="s">
        <v>341</v>
      </c>
      <c r="CB6" s="2" t="s">
        <v>372</v>
      </c>
      <c r="CC6" s="19">
        <v>44197</v>
      </c>
      <c r="CD6" s="2"/>
      <c r="CE6" s="2"/>
      <c r="CF6" s="2"/>
      <c r="CG6" s="2"/>
      <c r="CH6" s="2"/>
      <c r="CI6" s="2"/>
      <c r="CJ6" s="2"/>
      <c r="CK6" s="2"/>
      <c r="CL6" s="2"/>
      <c r="CM6" s="2"/>
      <c r="CN6" s="2" t="s">
        <v>342</v>
      </c>
      <c r="CO6" s="2" t="s">
        <v>342</v>
      </c>
      <c r="CP6" s="2"/>
      <c r="CQ6" s="2" t="s">
        <v>341</v>
      </c>
      <c r="CR6" s="2">
        <v>1</v>
      </c>
      <c r="CS6" s="2" t="s">
        <v>342</v>
      </c>
      <c r="CT6" s="2"/>
      <c r="CU6" s="2"/>
      <c r="CV6" s="2" t="s">
        <v>342</v>
      </c>
      <c r="CW6" s="2"/>
      <c r="CX6" s="2" t="s">
        <v>342</v>
      </c>
      <c r="CY6" s="2" t="s">
        <v>347</v>
      </c>
      <c r="CZ6" s="2" t="s">
        <v>347</v>
      </c>
      <c r="DA6" s="2" t="s">
        <v>347</v>
      </c>
      <c r="DB6" s="2" t="s">
        <v>373</v>
      </c>
      <c r="DC6" s="2" t="s">
        <v>342</v>
      </c>
      <c r="DD6" s="2"/>
      <c r="DE6" s="2"/>
      <c r="DF6" s="2">
        <v>0</v>
      </c>
      <c r="DG6" s="2" t="s">
        <v>342</v>
      </c>
      <c r="DH6" s="2" t="s">
        <v>342</v>
      </c>
      <c r="DI6" s="2"/>
      <c r="DJ6" s="2" t="s">
        <v>342</v>
      </c>
      <c r="DK6" s="2"/>
      <c r="DL6" s="2"/>
      <c r="DM6" s="2" t="s">
        <v>348</v>
      </c>
      <c r="DN6" s="2"/>
      <c r="DO6" s="2" t="s">
        <v>374</v>
      </c>
      <c r="DP6" s="18">
        <v>5</v>
      </c>
      <c r="DQ6" s="18">
        <v>4</v>
      </c>
      <c r="DR6" s="18">
        <v>4</v>
      </c>
      <c r="DS6" s="18" t="s">
        <v>375</v>
      </c>
      <c r="DT6" s="18"/>
      <c r="DU6" s="18">
        <v>4</v>
      </c>
      <c r="DV6" s="18">
        <v>3</v>
      </c>
      <c r="DW6" s="18">
        <v>1</v>
      </c>
      <c r="DX6" s="18"/>
      <c r="DY6" s="18"/>
      <c r="DZ6" s="18"/>
      <c r="EA6" s="18" t="s">
        <v>341</v>
      </c>
      <c r="EB6" s="18" t="s">
        <v>341</v>
      </c>
      <c r="EC6" s="18" t="s">
        <v>341</v>
      </c>
      <c r="ED6" t="s">
        <v>342</v>
      </c>
      <c r="EE6" s="18" t="s">
        <v>342</v>
      </c>
      <c r="EF6" s="18"/>
      <c r="EG6" s="18"/>
      <c r="EH6" s="18"/>
      <c r="EI6" s="18"/>
      <c r="EJ6" s="18"/>
      <c r="EK6" s="18"/>
      <c r="EL6" s="18">
        <v>2</v>
      </c>
      <c r="EM6" s="18"/>
      <c r="EN6" s="18">
        <v>4</v>
      </c>
      <c r="EO6" s="18"/>
      <c r="EP6" s="18">
        <v>0</v>
      </c>
      <c r="EQ6" s="2" t="s">
        <v>342</v>
      </c>
      <c r="ER6" s="2" t="s">
        <v>341</v>
      </c>
      <c r="ES6" s="2" t="s">
        <v>341</v>
      </c>
      <c r="ET6" s="2" t="s">
        <v>342</v>
      </c>
      <c r="EU6" s="2" t="s">
        <v>341</v>
      </c>
      <c r="EV6" s="2" t="s">
        <v>341</v>
      </c>
      <c r="EW6" s="2"/>
      <c r="EX6" s="2" t="s">
        <v>361</v>
      </c>
      <c r="EY6" s="2">
        <v>6.7</v>
      </c>
      <c r="EZ6" s="2">
        <v>109</v>
      </c>
      <c r="FA6" s="2">
        <v>340</v>
      </c>
      <c r="FB6" s="2" t="s">
        <v>342</v>
      </c>
      <c r="FC6" s="2">
        <v>3.3</v>
      </c>
      <c r="FD6" s="2" t="s">
        <v>342</v>
      </c>
      <c r="FE6" s="2">
        <v>2.4</v>
      </c>
      <c r="FF6" s="2">
        <v>0.7</v>
      </c>
      <c r="FG6" s="2">
        <v>0.2</v>
      </c>
      <c r="FH6" s="2">
        <v>0</v>
      </c>
      <c r="FI6" s="2">
        <v>3.7</v>
      </c>
      <c r="FJ6" s="2">
        <v>33</v>
      </c>
      <c r="FK6" s="2" t="s">
        <v>350</v>
      </c>
      <c r="FL6" s="2">
        <v>24</v>
      </c>
      <c r="FM6" s="2">
        <v>0</v>
      </c>
      <c r="FN6" s="2" t="s">
        <v>342</v>
      </c>
      <c r="FO6" s="2">
        <v>7.01</v>
      </c>
      <c r="FP6" s="2">
        <v>3</v>
      </c>
      <c r="FQ6" s="2">
        <v>0.5</v>
      </c>
      <c r="FR6" s="2">
        <v>5.4</v>
      </c>
      <c r="FS6" s="2">
        <v>1.42</v>
      </c>
      <c r="FT6" s="2">
        <v>0.43</v>
      </c>
      <c r="FU6" s="2">
        <v>0.21</v>
      </c>
      <c r="FV6" s="2">
        <v>100</v>
      </c>
      <c r="FW6" s="2">
        <v>1.62</v>
      </c>
      <c r="FX6" s="2">
        <v>0.18</v>
      </c>
      <c r="FY6" s="2">
        <v>0.83</v>
      </c>
      <c r="FZ6" s="2">
        <v>0.67</v>
      </c>
      <c r="GA6" s="2">
        <v>0.81</v>
      </c>
      <c r="GB6" s="2">
        <v>0.17</v>
      </c>
      <c r="GC6" s="2">
        <v>44</v>
      </c>
      <c r="GD6" s="2" t="s">
        <v>362</v>
      </c>
      <c r="GE6" s="2">
        <v>0.8</v>
      </c>
      <c r="GF6" s="2">
        <v>0.16</v>
      </c>
      <c r="GG6" s="2"/>
      <c r="GH6" s="2"/>
      <c r="GI6" s="2">
        <v>0</v>
      </c>
      <c r="GJ6" s="2"/>
      <c r="GK6" s="2">
        <v>0</v>
      </c>
      <c r="GL6" s="2">
        <v>0</v>
      </c>
      <c r="GM6" s="2"/>
      <c r="GN6" s="2"/>
      <c r="GO6" s="2"/>
      <c r="GP6" s="2"/>
      <c r="GQ6" s="2"/>
      <c r="GR6" s="2"/>
      <c r="GS6" s="2"/>
      <c r="GT6" s="2">
        <v>71</v>
      </c>
      <c r="GU6" s="2"/>
      <c r="GV6" s="2"/>
      <c r="GW6" s="2" t="s">
        <v>58</v>
      </c>
      <c r="GX6" s="2">
        <v>7.15</v>
      </c>
      <c r="GY6" s="2">
        <v>11.1</v>
      </c>
      <c r="GZ6" s="2">
        <v>0.04</v>
      </c>
      <c r="HA6" s="2">
        <v>28.2</v>
      </c>
      <c r="HB6" s="2">
        <v>60.7</v>
      </c>
      <c r="HC6" s="2">
        <v>76.900000000000006</v>
      </c>
      <c r="HD6" s="2">
        <v>1.0999999999999999E-2</v>
      </c>
      <c r="HE6" s="2">
        <v>0.99</v>
      </c>
      <c r="HF6" s="2">
        <v>4.66</v>
      </c>
      <c r="HG6" s="2">
        <v>71.400000000000006</v>
      </c>
      <c r="HH6" s="2">
        <v>33</v>
      </c>
      <c r="HI6" s="2">
        <v>7.47</v>
      </c>
      <c r="HJ6" s="2">
        <v>50.3</v>
      </c>
      <c r="HK6" s="2">
        <v>31.3</v>
      </c>
      <c r="HL6" s="2">
        <v>8.33</v>
      </c>
      <c r="HM6" s="2">
        <v>36.6</v>
      </c>
      <c r="HN6" s="2">
        <v>70.099999999999994</v>
      </c>
      <c r="HO6" s="2">
        <v>2.57</v>
      </c>
      <c r="HP6" s="2">
        <v>19.399999999999999</v>
      </c>
      <c r="HQ6" s="2">
        <v>16.100000000000001</v>
      </c>
      <c r="HR6" s="2">
        <v>51.6</v>
      </c>
      <c r="HS6" s="2">
        <v>4.57</v>
      </c>
      <c r="HT6" s="2">
        <v>56.4</v>
      </c>
      <c r="HU6" s="2">
        <v>2.74</v>
      </c>
      <c r="HV6" s="2">
        <v>25.1</v>
      </c>
      <c r="HW6" s="2">
        <v>15.7</v>
      </c>
      <c r="HX6" s="2">
        <v>36.6</v>
      </c>
      <c r="HY6" s="2">
        <v>2.5499999999999998</v>
      </c>
      <c r="HZ6" s="2">
        <v>5.07</v>
      </c>
      <c r="IA6" s="2">
        <v>2.5</v>
      </c>
      <c r="IB6" s="2">
        <v>89.8</v>
      </c>
      <c r="IC6" s="2">
        <v>13.8</v>
      </c>
      <c r="ID6" s="2">
        <v>4.75</v>
      </c>
      <c r="IE6" s="2">
        <v>5.2</v>
      </c>
      <c r="IF6" s="2">
        <v>66.3</v>
      </c>
      <c r="IG6" s="2">
        <v>21.7</v>
      </c>
      <c r="IH6" s="2">
        <v>9.98</v>
      </c>
      <c r="II6" s="2">
        <v>48.2</v>
      </c>
      <c r="IJ6" s="2">
        <v>0.79</v>
      </c>
      <c r="IK6" s="2">
        <v>0.52</v>
      </c>
      <c r="IL6" s="2">
        <v>3.9</v>
      </c>
      <c r="IM6" s="2">
        <v>0.28000000000000003</v>
      </c>
      <c r="IN6" s="2">
        <v>96.4</v>
      </c>
      <c r="IO6" s="2">
        <v>2.72</v>
      </c>
      <c r="IP6" s="2">
        <v>0.75</v>
      </c>
      <c r="IQ6" s="2">
        <v>97.1</v>
      </c>
      <c r="IR6" s="2">
        <v>1.48</v>
      </c>
      <c r="IS6" s="2">
        <v>28.6</v>
      </c>
      <c r="IT6" s="2">
        <v>3.39</v>
      </c>
      <c r="IU6" s="2">
        <v>63.4</v>
      </c>
      <c r="IV6" s="2">
        <v>0.2</v>
      </c>
      <c r="IW6" s="2">
        <v>26.1</v>
      </c>
      <c r="IX6" s="2">
        <v>53.2</v>
      </c>
      <c r="IY6" s="2">
        <v>32</v>
      </c>
      <c r="IZ6" s="2">
        <v>0.27</v>
      </c>
      <c r="JA6" s="2">
        <v>4.45</v>
      </c>
      <c r="JB6" s="2">
        <v>13.7</v>
      </c>
      <c r="JC6" s="2">
        <v>47.9</v>
      </c>
      <c r="JD6" s="2">
        <v>569</v>
      </c>
      <c r="JE6" s="2">
        <v>403</v>
      </c>
      <c r="JF6" s="2">
        <v>845</v>
      </c>
      <c r="JG6" s="2">
        <v>1125</v>
      </c>
      <c r="JH6" s="2">
        <v>385</v>
      </c>
      <c r="JI6" s="2">
        <v>8.93</v>
      </c>
    </row>
    <row r="7" spans="1:269" ht="15.75" x14ac:dyDescent="0.5">
      <c r="A7" t="s">
        <v>1</v>
      </c>
      <c r="B7" s="43">
        <v>179</v>
      </c>
      <c r="C7" s="9">
        <v>25.912328767123288</v>
      </c>
      <c r="D7" s="5" t="s">
        <v>76</v>
      </c>
      <c r="E7" t="s">
        <v>71</v>
      </c>
      <c r="F7" t="s">
        <v>414</v>
      </c>
      <c r="G7" t="s">
        <v>340</v>
      </c>
      <c r="H7">
        <v>4</v>
      </c>
      <c r="I7">
        <v>0</v>
      </c>
      <c r="J7">
        <v>2</v>
      </c>
      <c r="K7">
        <v>0</v>
      </c>
      <c r="L7">
        <v>10</v>
      </c>
      <c r="M7" t="s">
        <v>339</v>
      </c>
      <c r="N7">
        <v>3</v>
      </c>
      <c r="O7" t="s">
        <v>339</v>
      </c>
      <c r="P7">
        <v>33</v>
      </c>
      <c r="Q7">
        <v>6</v>
      </c>
      <c r="R7" s="5">
        <v>1981</v>
      </c>
      <c r="S7" s="5">
        <f>2022-R7</f>
        <v>41</v>
      </c>
      <c r="AA7" t="s">
        <v>341</v>
      </c>
      <c r="AB7">
        <v>200</v>
      </c>
      <c r="AC7">
        <v>2015</v>
      </c>
      <c r="AD7" s="5">
        <v>0</v>
      </c>
      <c r="AE7" t="s">
        <v>342</v>
      </c>
      <c r="AF7" t="s">
        <v>342</v>
      </c>
      <c r="AG7" t="s">
        <v>415</v>
      </c>
      <c r="AH7">
        <v>3</v>
      </c>
      <c r="AI7" t="s">
        <v>342</v>
      </c>
      <c r="AW7" t="s">
        <v>341</v>
      </c>
      <c r="AX7">
        <v>50</v>
      </c>
      <c r="AY7" t="s">
        <v>416</v>
      </c>
      <c r="CN7" t="s">
        <v>342</v>
      </c>
      <c r="CO7" t="s">
        <v>342</v>
      </c>
      <c r="CQ7" t="s">
        <v>341</v>
      </c>
      <c r="CR7">
        <v>2</v>
      </c>
      <c r="CS7" t="s">
        <v>341</v>
      </c>
      <c r="CT7" t="s">
        <v>156</v>
      </c>
      <c r="CU7" t="s">
        <v>417</v>
      </c>
      <c r="CV7" t="s">
        <v>342</v>
      </c>
      <c r="CX7" t="s">
        <v>341</v>
      </c>
      <c r="CY7" t="s">
        <v>382</v>
      </c>
      <c r="CZ7" t="s">
        <v>382</v>
      </c>
      <c r="DA7" t="s">
        <v>382</v>
      </c>
      <c r="DB7" t="s">
        <v>418</v>
      </c>
      <c r="DC7" t="s">
        <v>342</v>
      </c>
      <c r="DF7">
        <v>0</v>
      </c>
      <c r="DG7" t="s">
        <v>342</v>
      </c>
      <c r="DH7" t="s">
        <v>342</v>
      </c>
      <c r="DJ7" t="s">
        <v>342</v>
      </c>
      <c r="DM7" t="s">
        <v>405</v>
      </c>
      <c r="DN7">
        <v>20</v>
      </c>
      <c r="DO7" t="s">
        <v>419</v>
      </c>
      <c r="DP7">
        <v>3</v>
      </c>
      <c r="DQ7">
        <v>2</v>
      </c>
      <c r="DR7">
        <v>2</v>
      </c>
      <c r="DS7" t="s">
        <v>220</v>
      </c>
      <c r="DU7">
        <v>1</v>
      </c>
      <c r="DZ7">
        <v>2</v>
      </c>
      <c r="EA7" t="s">
        <v>342</v>
      </c>
      <c r="EB7" t="s">
        <v>341</v>
      </c>
      <c r="EC7" t="s">
        <v>342</v>
      </c>
      <c r="ED7" t="s">
        <v>342</v>
      </c>
      <c r="EE7" s="5" t="s">
        <v>342</v>
      </c>
      <c r="EL7">
        <v>3</v>
      </c>
      <c r="EP7">
        <v>0</v>
      </c>
      <c r="EQ7" t="s">
        <v>342</v>
      </c>
      <c r="ER7" t="s">
        <v>341</v>
      </c>
      <c r="ES7" t="s">
        <v>341</v>
      </c>
      <c r="ET7" t="s">
        <v>342</v>
      </c>
      <c r="EU7" t="s">
        <v>341</v>
      </c>
      <c r="EV7" t="s">
        <v>341</v>
      </c>
      <c r="EW7">
        <v>4</v>
      </c>
      <c r="EX7" t="s">
        <v>420</v>
      </c>
      <c r="EY7">
        <v>5.4</v>
      </c>
      <c r="EZ7">
        <v>137</v>
      </c>
      <c r="FA7">
        <v>260</v>
      </c>
      <c r="FB7" t="s">
        <v>342</v>
      </c>
      <c r="FC7">
        <v>3.5</v>
      </c>
      <c r="FD7" t="s">
        <v>342</v>
      </c>
      <c r="FE7">
        <v>1.1000000000000001</v>
      </c>
      <c r="FF7">
        <v>0.6</v>
      </c>
      <c r="FG7">
        <v>0.3</v>
      </c>
      <c r="FH7">
        <v>0.1</v>
      </c>
      <c r="FI7">
        <v>5.6</v>
      </c>
      <c r="FJ7">
        <v>79</v>
      </c>
      <c r="FK7">
        <v>68</v>
      </c>
      <c r="FL7">
        <v>19</v>
      </c>
      <c r="FM7">
        <v>1.2</v>
      </c>
      <c r="FN7" t="s">
        <v>342</v>
      </c>
      <c r="FO7">
        <v>8.0399999999999991</v>
      </c>
      <c r="FP7">
        <v>1.94</v>
      </c>
      <c r="FQ7">
        <v>1.74</v>
      </c>
      <c r="GC7">
        <v>5</v>
      </c>
      <c r="GD7" t="s">
        <v>362</v>
      </c>
      <c r="GE7">
        <v>1.3</v>
      </c>
      <c r="GF7">
        <v>0.11</v>
      </c>
      <c r="GG7">
        <v>0</v>
      </c>
      <c r="GH7">
        <v>0.9</v>
      </c>
      <c r="GI7">
        <v>0</v>
      </c>
      <c r="GK7">
        <v>0</v>
      </c>
      <c r="GL7">
        <v>0</v>
      </c>
      <c r="GP7">
        <v>0</v>
      </c>
      <c r="GQ7">
        <v>0</v>
      </c>
      <c r="GS7">
        <v>7.4</v>
      </c>
      <c r="GT7">
        <v>0.6</v>
      </c>
      <c r="GW7" s="3" t="s">
        <v>65</v>
      </c>
      <c r="GX7" s="3">
        <v>18</v>
      </c>
      <c r="GY7" s="3">
        <v>10.3</v>
      </c>
      <c r="GZ7" s="3">
        <v>0.25</v>
      </c>
      <c r="HA7" s="3">
        <v>26.3</v>
      </c>
      <c r="HB7" s="3">
        <v>63.1</v>
      </c>
      <c r="HC7" s="3">
        <v>47.7</v>
      </c>
      <c r="HD7" s="3">
        <v>3.9E-2</v>
      </c>
      <c r="HE7" s="3">
        <v>0.39</v>
      </c>
      <c r="HF7" s="3">
        <v>1.23</v>
      </c>
      <c r="HG7" s="3">
        <v>46.1</v>
      </c>
      <c r="HH7" s="3">
        <v>32.700000000000003</v>
      </c>
      <c r="HI7" s="3">
        <v>7.63</v>
      </c>
      <c r="HJ7" s="3">
        <v>19.3</v>
      </c>
      <c r="HK7" s="3">
        <v>39.4</v>
      </c>
      <c r="HL7" s="3">
        <v>27.2</v>
      </c>
      <c r="HM7" s="3">
        <v>55.5</v>
      </c>
      <c r="HN7" s="3">
        <v>40.1</v>
      </c>
      <c r="HO7" s="3">
        <v>8.6199999999999992</v>
      </c>
      <c r="HP7" s="3">
        <v>41.5</v>
      </c>
      <c r="HQ7" s="3">
        <v>9.8000000000000007</v>
      </c>
      <c r="HR7" s="3">
        <v>20.8</v>
      </c>
      <c r="HS7" s="3">
        <v>15.1</v>
      </c>
      <c r="HT7" s="3">
        <v>41.5</v>
      </c>
      <c r="HU7" s="3">
        <v>5.92</v>
      </c>
      <c r="HV7" s="3">
        <v>39.5</v>
      </c>
      <c r="HW7" s="3">
        <v>13.1</v>
      </c>
      <c r="HX7" s="3">
        <v>10.4</v>
      </c>
      <c r="HY7" s="3">
        <v>34.6</v>
      </c>
      <c r="HZ7" s="3">
        <v>34.9</v>
      </c>
      <c r="IA7" s="3">
        <v>14.1</v>
      </c>
      <c r="IB7" s="3">
        <v>9.07</v>
      </c>
      <c r="IC7" s="3">
        <v>25.8</v>
      </c>
      <c r="ID7" s="3">
        <v>2.96</v>
      </c>
      <c r="IE7" s="3">
        <v>11.4</v>
      </c>
      <c r="IF7" s="3">
        <v>69.5</v>
      </c>
      <c r="IG7" s="3">
        <v>12</v>
      </c>
      <c r="IH7" s="3">
        <v>17</v>
      </c>
      <c r="II7" s="3">
        <v>13.4</v>
      </c>
      <c r="IJ7" s="3">
        <v>0.38</v>
      </c>
      <c r="IK7" s="3">
        <v>0.89</v>
      </c>
      <c r="IL7" s="3">
        <v>1.39</v>
      </c>
      <c r="IM7" s="3">
        <v>1.92</v>
      </c>
      <c r="IN7" s="3">
        <v>59.4</v>
      </c>
      <c r="IO7" s="3">
        <v>39.200000000000003</v>
      </c>
      <c r="IP7" s="3">
        <v>1.27</v>
      </c>
      <c r="IQ7" s="3">
        <v>73.099999999999994</v>
      </c>
      <c r="IR7" s="3">
        <v>24.4</v>
      </c>
      <c r="IS7" s="3">
        <v>54.2</v>
      </c>
      <c r="IT7" s="3">
        <v>6.93</v>
      </c>
      <c r="IU7" s="3">
        <v>33</v>
      </c>
      <c r="IV7" s="3">
        <v>1.34</v>
      </c>
      <c r="IW7" s="3">
        <v>5.18</v>
      </c>
      <c r="IX7" s="3">
        <v>14.9</v>
      </c>
      <c r="IY7" s="3">
        <v>19.600000000000001</v>
      </c>
      <c r="IZ7" s="3">
        <v>1.46</v>
      </c>
      <c r="JA7" s="3">
        <v>2.29</v>
      </c>
      <c r="JB7" s="3">
        <v>12.3</v>
      </c>
      <c r="JC7" s="3">
        <v>-54.6</v>
      </c>
      <c r="JD7" s="3">
        <v>135</v>
      </c>
      <c r="JE7" s="3">
        <v>207</v>
      </c>
      <c r="JF7" s="3">
        <v>38.6</v>
      </c>
      <c r="JG7" s="3">
        <v>126</v>
      </c>
      <c r="JH7" s="3">
        <v>163</v>
      </c>
      <c r="JI7" s="3">
        <v>-14.3</v>
      </c>
    </row>
    <row r="8" spans="1:269" ht="15.75" x14ac:dyDescent="0.5">
      <c r="A8" t="s">
        <v>1</v>
      </c>
      <c r="B8" s="43">
        <v>170</v>
      </c>
      <c r="C8" s="9">
        <v>48.715068493150682</v>
      </c>
      <c r="D8" t="s">
        <v>74</v>
      </c>
      <c r="E8" t="s">
        <v>71</v>
      </c>
      <c r="F8" t="s">
        <v>403</v>
      </c>
      <c r="G8" t="s">
        <v>340</v>
      </c>
      <c r="H8">
        <v>4</v>
      </c>
      <c r="I8">
        <v>0</v>
      </c>
      <c r="J8">
        <v>4</v>
      </c>
      <c r="K8">
        <v>0</v>
      </c>
      <c r="L8">
        <v>0</v>
      </c>
      <c r="M8" t="s">
        <v>340</v>
      </c>
      <c r="N8">
        <v>4</v>
      </c>
      <c r="O8" t="s">
        <v>339</v>
      </c>
      <c r="P8">
        <v>24</v>
      </c>
      <c r="Q8">
        <v>9</v>
      </c>
      <c r="R8" s="5">
        <v>2019</v>
      </c>
      <c r="S8" s="5">
        <f>2022-R8</f>
        <v>3</v>
      </c>
      <c r="T8" s="5"/>
      <c r="AA8" t="s">
        <v>341</v>
      </c>
      <c r="AB8">
        <v>400</v>
      </c>
      <c r="AC8" s="22">
        <v>43732</v>
      </c>
      <c r="AD8" s="5">
        <v>0</v>
      </c>
      <c r="AE8" t="s">
        <v>342</v>
      </c>
      <c r="AF8" t="s">
        <v>342</v>
      </c>
      <c r="AH8">
        <v>0</v>
      </c>
      <c r="AI8" t="s">
        <v>342</v>
      </c>
      <c r="CN8" t="s">
        <v>342</v>
      </c>
      <c r="CO8" t="s">
        <v>342</v>
      </c>
      <c r="CQ8" t="s">
        <v>342</v>
      </c>
      <c r="CS8" t="s">
        <v>342</v>
      </c>
      <c r="CV8" t="s">
        <v>342</v>
      </c>
      <c r="CX8" t="s">
        <v>342</v>
      </c>
      <c r="CY8" t="s">
        <v>347</v>
      </c>
      <c r="CZ8" t="s">
        <v>347</v>
      </c>
      <c r="DA8" t="s">
        <v>347</v>
      </c>
      <c r="DB8" t="s">
        <v>404</v>
      </c>
      <c r="DC8" t="s">
        <v>342</v>
      </c>
      <c r="DF8">
        <v>0</v>
      </c>
      <c r="DG8" t="s">
        <v>342</v>
      </c>
      <c r="DH8" t="s">
        <v>342</v>
      </c>
      <c r="DJ8" t="s">
        <v>342</v>
      </c>
      <c r="DM8" t="s">
        <v>405</v>
      </c>
      <c r="DN8">
        <v>3</v>
      </c>
      <c r="DO8" t="s">
        <v>406</v>
      </c>
      <c r="DP8" s="5">
        <v>4</v>
      </c>
      <c r="DQ8" s="5">
        <v>4</v>
      </c>
      <c r="DR8" s="5">
        <v>4</v>
      </c>
      <c r="DS8" s="5" t="s">
        <v>407</v>
      </c>
      <c r="DT8" s="5">
        <v>3</v>
      </c>
      <c r="DU8" s="5"/>
      <c r="DV8" s="5"/>
      <c r="DW8" s="5"/>
      <c r="DX8" s="5"/>
      <c r="DY8" s="5"/>
      <c r="DZ8" s="5">
        <v>1</v>
      </c>
      <c r="EA8" s="5" t="s">
        <v>342</v>
      </c>
      <c r="EB8" s="5" t="s">
        <v>341</v>
      </c>
      <c r="EC8" s="5" t="s">
        <v>342</v>
      </c>
      <c r="ED8" t="s">
        <v>342</v>
      </c>
      <c r="EE8" s="5" t="s">
        <v>342</v>
      </c>
      <c r="EF8" s="5"/>
      <c r="EG8" s="5"/>
      <c r="EH8" s="5"/>
      <c r="EI8" s="5"/>
      <c r="EJ8" s="5"/>
      <c r="EK8" s="5"/>
      <c r="EL8" s="5">
        <v>1</v>
      </c>
      <c r="EM8" s="5">
        <v>3</v>
      </c>
      <c r="EN8" s="5"/>
      <c r="EO8" s="5"/>
      <c r="EP8" s="5">
        <v>0</v>
      </c>
      <c r="EQ8" t="s">
        <v>342</v>
      </c>
      <c r="ER8" t="s">
        <v>341</v>
      </c>
      <c r="ES8" t="s">
        <v>341</v>
      </c>
      <c r="ET8" t="s">
        <v>342</v>
      </c>
      <c r="EU8" t="s">
        <v>341</v>
      </c>
      <c r="EV8" t="s">
        <v>341</v>
      </c>
      <c r="EX8" t="s">
        <v>361</v>
      </c>
      <c r="EY8">
        <v>5</v>
      </c>
      <c r="EZ8">
        <v>144</v>
      </c>
      <c r="FA8">
        <v>111</v>
      </c>
      <c r="FB8" t="s">
        <v>342</v>
      </c>
      <c r="FC8">
        <v>2.7</v>
      </c>
      <c r="FD8" t="s">
        <v>342</v>
      </c>
      <c r="FE8">
        <v>1.8</v>
      </c>
      <c r="FF8">
        <v>0.4</v>
      </c>
      <c r="FG8">
        <v>0.1</v>
      </c>
      <c r="FH8">
        <v>0</v>
      </c>
      <c r="FI8">
        <v>3.3</v>
      </c>
      <c r="FJ8">
        <v>56</v>
      </c>
      <c r="FK8" t="s">
        <v>350</v>
      </c>
      <c r="FL8">
        <v>8</v>
      </c>
      <c r="FM8">
        <v>0</v>
      </c>
      <c r="GC8">
        <v>134</v>
      </c>
      <c r="GD8" t="s">
        <v>362</v>
      </c>
      <c r="GE8">
        <v>0.78</v>
      </c>
      <c r="GF8">
        <v>0.14000000000000001</v>
      </c>
      <c r="GI8">
        <v>0</v>
      </c>
      <c r="GJ8">
        <v>945</v>
      </c>
      <c r="GK8">
        <v>0</v>
      </c>
      <c r="GL8">
        <v>0</v>
      </c>
      <c r="GM8">
        <v>0</v>
      </c>
      <c r="GS8">
        <v>33.299999999999997</v>
      </c>
      <c r="GW8" t="s">
        <v>63</v>
      </c>
      <c r="GX8">
        <v>3.49</v>
      </c>
      <c r="GY8">
        <v>20.9</v>
      </c>
      <c r="GZ8">
        <v>0.7</v>
      </c>
      <c r="HA8">
        <v>56.3</v>
      </c>
      <c r="HB8">
        <v>22.1</v>
      </c>
      <c r="HC8">
        <v>88.1</v>
      </c>
      <c r="HD8">
        <v>1.2999999999999999E-2</v>
      </c>
      <c r="HE8">
        <v>0.4</v>
      </c>
      <c r="HF8">
        <v>2.89</v>
      </c>
      <c r="HG8">
        <v>84.8</v>
      </c>
      <c r="HH8">
        <v>33.1</v>
      </c>
      <c r="HI8">
        <v>4.79</v>
      </c>
      <c r="HJ8">
        <v>38.4</v>
      </c>
      <c r="HK8">
        <v>16</v>
      </c>
      <c r="HL8">
        <v>38.700000000000003</v>
      </c>
      <c r="HM8">
        <v>51.4</v>
      </c>
      <c r="HN8">
        <v>68</v>
      </c>
      <c r="HO8">
        <v>0.79</v>
      </c>
      <c r="HP8">
        <v>29.8</v>
      </c>
      <c r="HQ8">
        <v>1.72</v>
      </c>
      <c r="HR8">
        <v>34.200000000000003</v>
      </c>
      <c r="HS8">
        <v>4.8</v>
      </c>
      <c r="HT8">
        <v>43.4</v>
      </c>
      <c r="HU8">
        <v>0.34</v>
      </c>
      <c r="HV8">
        <v>53</v>
      </c>
      <c r="HW8">
        <v>3.21</v>
      </c>
      <c r="HX8">
        <v>50.6</v>
      </c>
      <c r="HY8">
        <v>1.35</v>
      </c>
      <c r="HZ8">
        <v>17.8</v>
      </c>
      <c r="IA8">
        <v>50.6</v>
      </c>
      <c r="IB8">
        <v>30.1</v>
      </c>
      <c r="IC8">
        <v>7.1</v>
      </c>
      <c r="ID8">
        <v>19.8</v>
      </c>
      <c r="IE8">
        <v>15.9</v>
      </c>
      <c r="IF8">
        <v>51.7</v>
      </c>
      <c r="IG8">
        <v>7.59</v>
      </c>
      <c r="IH8">
        <v>14</v>
      </c>
      <c r="II8">
        <v>34.799999999999997</v>
      </c>
      <c r="IJ8">
        <v>2.5099999999999998</v>
      </c>
      <c r="IK8">
        <v>1.51</v>
      </c>
      <c r="IL8">
        <v>9.4</v>
      </c>
      <c r="IM8">
        <v>3.04</v>
      </c>
      <c r="IN8">
        <v>97.9</v>
      </c>
      <c r="IO8">
        <v>0.08</v>
      </c>
      <c r="IP8">
        <v>0.52</v>
      </c>
      <c r="IQ8">
        <v>95.1</v>
      </c>
      <c r="IR8">
        <v>4.4999999999999998E-2</v>
      </c>
      <c r="IS8">
        <v>25.1</v>
      </c>
      <c r="IT8">
        <v>28.2</v>
      </c>
      <c r="IU8">
        <v>43.4</v>
      </c>
      <c r="IV8">
        <v>2.67</v>
      </c>
      <c r="IW8">
        <v>20.5</v>
      </c>
      <c r="IX8">
        <v>84.3</v>
      </c>
      <c r="IY8">
        <v>78</v>
      </c>
      <c r="IZ8">
        <v>0.38</v>
      </c>
      <c r="JA8">
        <v>3.27</v>
      </c>
      <c r="JB8">
        <v>60.9</v>
      </c>
      <c r="JC8">
        <v>140</v>
      </c>
      <c r="JD8">
        <v>631</v>
      </c>
      <c r="JE8">
        <v>754</v>
      </c>
      <c r="JF8">
        <v>515</v>
      </c>
      <c r="JG8">
        <v>500</v>
      </c>
      <c r="JH8">
        <v>171</v>
      </c>
      <c r="JI8">
        <v>43.9</v>
      </c>
    </row>
    <row r="9" spans="1:269" ht="15.75" x14ac:dyDescent="0.5">
      <c r="A9" t="s">
        <v>1</v>
      </c>
      <c r="B9" s="43">
        <v>175</v>
      </c>
      <c r="C9" s="9">
        <v>51.175342465753424</v>
      </c>
      <c r="D9" s="5" t="s">
        <v>75</v>
      </c>
      <c r="E9" t="s">
        <v>71</v>
      </c>
      <c r="F9" t="s">
        <v>408</v>
      </c>
      <c r="G9" t="s">
        <v>340</v>
      </c>
      <c r="H9">
        <v>0</v>
      </c>
      <c r="I9">
        <v>0</v>
      </c>
      <c r="J9">
        <v>6</v>
      </c>
      <c r="K9">
        <v>0</v>
      </c>
      <c r="L9">
        <v>0</v>
      </c>
      <c r="M9" t="s">
        <v>340</v>
      </c>
      <c r="N9">
        <v>3</v>
      </c>
      <c r="O9" t="s">
        <v>339</v>
      </c>
      <c r="P9">
        <v>21</v>
      </c>
      <c r="Q9">
        <v>13</v>
      </c>
      <c r="R9" s="5">
        <v>2009</v>
      </c>
      <c r="S9" s="5">
        <f>2022-R9</f>
        <v>13</v>
      </c>
      <c r="T9" t="s">
        <v>341</v>
      </c>
      <c r="U9">
        <v>3</v>
      </c>
      <c r="V9">
        <v>2009</v>
      </c>
      <c r="AA9" t="s">
        <v>341</v>
      </c>
      <c r="AB9">
        <v>400</v>
      </c>
      <c r="AC9">
        <v>2009</v>
      </c>
      <c r="AD9" s="5">
        <v>1</v>
      </c>
      <c r="AE9" t="s">
        <v>342</v>
      </c>
      <c r="AF9" t="s">
        <v>342</v>
      </c>
      <c r="AG9" t="s">
        <v>409</v>
      </c>
      <c r="AH9">
        <v>1</v>
      </c>
      <c r="AI9" t="s">
        <v>342</v>
      </c>
      <c r="CN9" t="s">
        <v>342</v>
      </c>
      <c r="CO9" t="s">
        <v>342</v>
      </c>
      <c r="CQ9" t="s">
        <v>342</v>
      </c>
      <c r="CS9" t="s">
        <v>342</v>
      </c>
      <c r="CV9" t="s">
        <v>342</v>
      </c>
      <c r="CX9" t="s">
        <v>342</v>
      </c>
      <c r="CY9" t="s">
        <v>347</v>
      </c>
      <c r="CZ9" t="s">
        <v>347</v>
      </c>
      <c r="DA9" t="s">
        <v>347</v>
      </c>
      <c r="DB9" t="s">
        <v>410</v>
      </c>
      <c r="DC9" t="s">
        <v>342</v>
      </c>
      <c r="DF9">
        <v>0</v>
      </c>
      <c r="DG9" t="s">
        <v>342</v>
      </c>
      <c r="DH9" t="s">
        <v>342</v>
      </c>
      <c r="DJ9" t="s">
        <v>342</v>
      </c>
      <c r="DM9" t="s">
        <v>348</v>
      </c>
      <c r="DO9" t="s">
        <v>411</v>
      </c>
      <c r="DP9">
        <v>1</v>
      </c>
      <c r="DQ9">
        <v>0</v>
      </c>
      <c r="DR9">
        <v>0</v>
      </c>
      <c r="DS9" t="s">
        <v>220</v>
      </c>
      <c r="DU9">
        <v>1</v>
      </c>
      <c r="EA9" t="s">
        <v>342</v>
      </c>
      <c r="EB9" t="s">
        <v>341</v>
      </c>
      <c r="EC9" t="s">
        <v>342</v>
      </c>
      <c r="ED9" t="s">
        <v>342</v>
      </c>
      <c r="EE9" s="5" t="s">
        <v>342</v>
      </c>
      <c r="EL9">
        <v>1</v>
      </c>
      <c r="EP9">
        <v>0</v>
      </c>
      <c r="EQ9" t="s">
        <v>342</v>
      </c>
      <c r="ER9" t="s">
        <v>342</v>
      </c>
      <c r="ES9" t="s">
        <v>341</v>
      </c>
      <c r="ET9" t="s">
        <v>342</v>
      </c>
      <c r="EU9" t="s">
        <v>341</v>
      </c>
      <c r="EV9" t="s">
        <v>341</v>
      </c>
      <c r="EW9">
        <v>4</v>
      </c>
      <c r="EX9" t="s">
        <v>412</v>
      </c>
      <c r="EY9">
        <v>3.6</v>
      </c>
      <c r="EZ9">
        <v>127</v>
      </c>
      <c r="FA9">
        <v>276</v>
      </c>
      <c r="FB9" t="s">
        <v>342</v>
      </c>
      <c r="FC9">
        <v>2.39</v>
      </c>
      <c r="FD9" t="s">
        <v>341</v>
      </c>
      <c r="FE9">
        <v>0.86</v>
      </c>
      <c r="FF9">
        <v>0.32</v>
      </c>
      <c r="FG9">
        <v>0.01</v>
      </c>
      <c r="FH9">
        <v>0.03</v>
      </c>
      <c r="FI9">
        <v>5.2</v>
      </c>
      <c r="FJ9">
        <v>60</v>
      </c>
      <c r="FK9">
        <v>90</v>
      </c>
      <c r="FL9">
        <v>10</v>
      </c>
      <c r="FM9">
        <v>2</v>
      </c>
      <c r="FN9" t="s">
        <v>342</v>
      </c>
      <c r="FO9">
        <v>18.399999999999999</v>
      </c>
      <c r="FP9">
        <v>3.48</v>
      </c>
      <c r="FQ9">
        <v>2.37</v>
      </c>
      <c r="FR9">
        <v>10.7</v>
      </c>
      <c r="FS9">
        <v>4.2</v>
      </c>
      <c r="FT9">
        <v>0.31</v>
      </c>
      <c r="FU9">
        <v>1.61</v>
      </c>
      <c r="GC9">
        <v>5</v>
      </c>
      <c r="GD9" t="s">
        <v>351</v>
      </c>
      <c r="GE9">
        <v>1.1399999999999999</v>
      </c>
      <c r="GF9">
        <v>0.15</v>
      </c>
      <c r="GP9">
        <v>0</v>
      </c>
      <c r="GQ9">
        <v>0</v>
      </c>
      <c r="GS9">
        <v>19</v>
      </c>
      <c r="GV9" t="s">
        <v>413</v>
      </c>
      <c r="GW9" s="3" t="s">
        <v>64</v>
      </c>
      <c r="GX9" s="3">
        <v>19.8</v>
      </c>
      <c r="GY9" s="3">
        <v>19.399999999999999</v>
      </c>
      <c r="GZ9" s="3">
        <v>0.65</v>
      </c>
      <c r="HA9" s="3">
        <v>42.4</v>
      </c>
      <c r="HB9" s="3">
        <v>37.299999999999997</v>
      </c>
      <c r="HC9" s="3">
        <v>62</v>
      </c>
      <c r="HD9" s="3">
        <v>5.2999999999999999E-2</v>
      </c>
      <c r="HE9" s="3">
        <v>0.16</v>
      </c>
      <c r="HF9" s="3">
        <v>1.23</v>
      </c>
      <c r="HG9" s="3">
        <v>59.4</v>
      </c>
      <c r="HH9" s="3">
        <v>38.700000000000003</v>
      </c>
      <c r="HI9" s="3">
        <v>6.53</v>
      </c>
      <c r="HJ9" s="3">
        <v>52.8</v>
      </c>
      <c r="HK9" s="3">
        <v>24.6</v>
      </c>
      <c r="HL9" s="3">
        <v>11.1</v>
      </c>
      <c r="HM9" s="3">
        <v>32.1</v>
      </c>
      <c r="HN9" s="3">
        <v>57.3</v>
      </c>
      <c r="HO9" s="3">
        <v>4.2699999999999996</v>
      </c>
      <c r="HP9" s="3">
        <v>23.5</v>
      </c>
      <c r="HQ9" s="3">
        <v>15</v>
      </c>
      <c r="HR9" s="3">
        <v>55</v>
      </c>
      <c r="HS9" s="3">
        <v>6.83</v>
      </c>
      <c r="HT9" s="3">
        <v>30</v>
      </c>
      <c r="HU9" s="3">
        <v>9.26</v>
      </c>
      <c r="HV9" s="3">
        <v>35.200000000000003</v>
      </c>
      <c r="HW9" s="3">
        <v>25.5</v>
      </c>
      <c r="HX9" s="3">
        <v>18.600000000000001</v>
      </c>
      <c r="HY9" s="3">
        <v>7.99</v>
      </c>
      <c r="HZ9" s="3">
        <v>5.46</v>
      </c>
      <c r="IA9" s="3">
        <v>14.6</v>
      </c>
      <c r="IB9" s="3">
        <v>65</v>
      </c>
      <c r="IC9" s="3">
        <v>12.6</v>
      </c>
      <c r="ID9" s="3">
        <v>6.22</v>
      </c>
      <c r="IE9" s="3">
        <v>30.5</v>
      </c>
      <c r="IF9" s="3">
        <v>55.5</v>
      </c>
      <c r="IG9" s="3">
        <v>5.2</v>
      </c>
      <c r="IH9" s="3">
        <v>23.3</v>
      </c>
      <c r="II9" s="3">
        <v>41</v>
      </c>
      <c r="IJ9" s="3">
        <v>2.38</v>
      </c>
      <c r="IK9" s="3">
        <v>4</v>
      </c>
      <c r="IL9" s="3">
        <v>2.5</v>
      </c>
      <c r="IM9" s="3">
        <v>4.4000000000000004</v>
      </c>
      <c r="IN9" s="3">
        <v>73.5</v>
      </c>
      <c r="IO9" s="3">
        <v>20</v>
      </c>
      <c r="IP9" s="3">
        <v>0.28999999999999998</v>
      </c>
      <c r="IQ9" s="3">
        <v>81.8</v>
      </c>
      <c r="IR9" s="3">
        <v>13.5</v>
      </c>
      <c r="IS9" s="3">
        <v>25.1</v>
      </c>
      <c r="IT9" s="3">
        <v>4.99</v>
      </c>
      <c r="IU9" s="3">
        <v>66.3</v>
      </c>
      <c r="IV9" s="3">
        <v>2.39</v>
      </c>
      <c r="IW9" s="3">
        <v>8.07</v>
      </c>
      <c r="IX9" s="3">
        <v>24.9</v>
      </c>
      <c r="IY9" s="3">
        <v>42</v>
      </c>
      <c r="IZ9" s="3">
        <v>2.77</v>
      </c>
      <c r="JA9" s="3">
        <v>5.35</v>
      </c>
      <c r="JB9" s="3">
        <v>9.4600000000000009</v>
      </c>
      <c r="JC9" s="3">
        <v>-62.7</v>
      </c>
      <c r="JD9" s="3">
        <v>263</v>
      </c>
      <c r="JE9" s="3">
        <v>202</v>
      </c>
      <c r="JF9" s="3">
        <v>257</v>
      </c>
      <c r="JG9" s="3">
        <v>493</v>
      </c>
      <c r="JH9" s="3">
        <v>314</v>
      </c>
      <c r="JI9" s="3">
        <v>-0.59</v>
      </c>
    </row>
    <row r="10" spans="1:269" ht="15.75" x14ac:dyDescent="0.5">
      <c r="A10" s="1" t="s">
        <v>1</v>
      </c>
      <c r="B10" s="43">
        <v>109</v>
      </c>
      <c r="C10" s="7">
        <v>23.775342465753425</v>
      </c>
      <c r="D10" s="1" t="s">
        <v>70</v>
      </c>
      <c r="E10" s="1" t="s">
        <v>71</v>
      </c>
      <c r="F10" s="1" t="s">
        <v>338</v>
      </c>
      <c r="G10" s="1" t="s">
        <v>339</v>
      </c>
      <c r="H10" s="1">
        <v>0</v>
      </c>
      <c r="I10" s="1">
        <v>0</v>
      </c>
      <c r="J10" s="1">
        <v>0</v>
      </c>
      <c r="K10" s="1">
        <v>6</v>
      </c>
      <c r="L10" s="1">
        <v>10</v>
      </c>
      <c r="M10" s="1" t="s">
        <v>340</v>
      </c>
      <c r="N10" s="1">
        <v>0</v>
      </c>
      <c r="O10" s="1" t="s">
        <v>339</v>
      </c>
      <c r="P10" s="1">
        <v>30</v>
      </c>
      <c r="Q10" s="1">
        <v>2</v>
      </c>
      <c r="R10" s="13">
        <v>2015</v>
      </c>
      <c r="S10" s="13">
        <f>2022-R10</f>
        <v>7</v>
      </c>
      <c r="T10" s="13"/>
      <c r="U10" s="1"/>
      <c r="V10" s="1"/>
      <c r="W10" s="1"/>
      <c r="X10" s="1"/>
      <c r="Y10" s="1"/>
      <c r="Z10" s="1"/>
      <c r="AA10" s="1" t="s">
        <v>341</v>
      </c>
      <c r="AB10" s="1">
        <v>300</v>
      </c>
      <c r="AC10" s="14">
        <v>42339</v>
      </c>
      <c r="AD10" s="13">
        <v>1</v>
      </c>
      <c r="AE10" s="1" t="s">
        <v>342</v>
      </c>
      <c r="AF10" s="1" t="s">
        <v>342</v>
      </c>
      <c r="AG10" s="1"/>
      <c r="AH10" s="1">
        <v>0</v>
      </c>
      <c r="AI10" s="1" t="s">
        <v>342</v>
      </c>
      <c r="AJ10" s="1" t="s">
        <v>341</v>
      </c>
      <c r="AK10" s="15">
        <v>44706</v>
      </c>
      <c r="AL10" s="1" t="s">
        <v>343</v>
      </c>
      <c r="AM10" s="1" t="s">
        <v>341</v>
      </c>
      <c r="AN10" s="1">
        <v>5</v>
      </c>
      <c r="AO10" s="1" t="s">
        <v>344</v>
      </c>
      <c r="AP10" s="1" t="s">
        <v>341</v>
      </c>
      <c r="AQ10" s="1" t="s">
        <v>345</v>
      </c>
      <c r="AR10" s="1" t="s">
        <v>346</v>
      </c>
      <c r="AS10" s="14">
        <v>42522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 t="s">
        <v>342</v>
      </c>
      <c r="CO10" s="1" t="s">
        <v>342</v>
      </c>
      <c r="CP10" s="1"/>
      <c r="CQ10" s="1" t="s">
        <v>341</v>
      </c>
      <c r="CR10" s="1">
        <v>1</v>
      </c>
      <c r="CS10" s="1" t="s">
        <v>342</v>
      </c>
      <c r="CT10" s="1"/>
      <c r="CU10" s="1"/>
      <c r="CV10" s="1" t="s">
        <v>342</v>
      </c>
      <c r="CW10" s="1"/>
      <c r="CX10" s="1" t="s">
        <v>342</v>
      </c>
      <c r="CY10" s="1" t="s">
        <v>347</v>
      </c>
      <c r="CZ10" s="1" t="s">
        <v>347</v>
      </c>
      <c r="DA10" s="1" t="s">
        <v>347</v>
      </c>
      <c r="DB10" s="1"/>
      <c r="DC10" s="1" t="s">
        <v>342</v>
      </c>
      <c r="DD10" s="1"/>
      <c r="DE10" s="1"/>
      <c r="DF10" s="1">
        <v>0</v>
      </c>
      <c r="DG10" s="1" t="s">
        <v>342</v>
      </c>
      <c r="DH10" s="1" t="s">
        <v>342</v>
      </c>
      <c r="DI10" s="1"/>
      <c r="DJ10" s="1" t="s">
        <v>342</v>
      </c>
      <c r="DK10" s="1"/>
      <c r="DL10" s="1"/>
      <c r="DM10" s="1" t="s">
        <v>348</v>
      </c>
      <c r="DN10" s="1"/>
      <c r="DO10" s="1"/>
      <c r="DP10" s="13">
        <v>0</v>
      </c>
      <c r="DQ10" s="13">
        <v>0</v>
      </c>
      <c r="DR10" s="13">
        <v>0</v>
      </c>
      <c r="DS10" s="13"/>
      <c r="DT10" s="13"/>
      <c r="DU10" s="13"/>
      <c r="DV10" s="13"/>
      <c r="DW10" s="13"/>
      <c r="DX10" s="13"/>
      <c r="DY10" s="13"/>
      <c r="DZ10" s="13"/>
      <c r="EA10" s="13" t="s">
        <v>342</v>
      </c>
      <c r="EB10" s="13" t="s">
        <v>342</v>
      </c>
      <c r="EC10" s="13" t="s">
        <v>342</v>
      </c>
      <c r="ED10" t="s">
        <v>342</v>
      </c>
      <c r="EE10" s="5" t="s">
        <v>342</v>
      </c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>
        <v>0</v>
      </c>
      <c r="EQ10" s="1" t="s">
        <v>342</v>
      </c>
      <c r="ER10" s="1" t="s">
        <v>341</v>
      </c>
      <c r="ES10" s="1" t="s">
        <v>341</v>
      </c>
      <c r="ET10" s="1" t="s">
        <v>342</v>
      </c>
      <c r="EU10" s="1" t="s">
        <v>342</v>
      </c>
      <c r="EV10" s="1" t="s">
        <v>341</v>
      </c>
      <c r="EW10" s="1"/>
      <c r="EX10" s="1" t="s">
        <v>349</v>
      </c>
      <c r="EY10" s="1">
        <v>7</v>
      </c>
      <c r="EZ10" s="1">
        <v>121</v>
      </c>
      <c r="FA10" s="1">
        <v>192</v>
      </c>
      <c r="FB10" s="1" t="s">
        <v>342</v>
      </c>
      <c r="FC10" s="1">
        <v>5.25</v>
      </c>
      <c r="FD10" s="1" t="s">
        <v>342</v>
      </c>
      <c r="FE10" s="1">
        <v>1.0900000000000001</v>
      </c>
      <c r="FF10" s="1">
        <v>0.61</v>
      </c>
      <c r="FG10" s="1">
        <v>7.0000000000000007E-2</v>
      </c>
      <c r="FH10" s="1">
        <v>0.02</v>
      </c>
      <c r="FI10" s="1">
        <v>5</v>
      </c>
      <c r="FJ10" s="1">
        <v>60</v>
      </c>
      <c r="FK10" s="1" t="s">
        <v>350</v>
      </c>
      <c r="FL10" s="1">
        <v>29</v>
      </c>
      <c r="FM10" s="1">
        <v>44.4</v>
      </c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>
        <v>500</v>
      </c>
      <c r="GD10" s="1" t="s">
        <v>351</v>
      </c>
      <c r="GE10" s="1">
        <v>0.96</v>
      </c>
      <c r="GF10" s="1">
        <v>0.17</v>
      </c>
      <c r="GG10" s="1"/>
      <c r="GH10" s="1"/>
      <c r="GI10" s="1"/>
      <c r="GJ10" s="1"/>
      <c r="GK10" s="1"/>
      <c r="GL10" s="1"/>
      <c r="GM10" s="1"/>
      <c r="GN10" s="1"/>
      <c r="GO10" s="1"/>
      <c r="GP10" s="1">
        <v>8</v>
      </c>
      <c r="GQ10" s="1">
        <v>0</v>
      </c>
      <c r="GR10" s="1"/>
      <c r="GS10" s="1"/>
      <c r="GT10" s="1">
        <v>2.8</v>
      </c>
      <c r="GU10" s="1"/>
      <c r="GV10" s="1"/>
      <c r="GW10" s="1" t="s">
        <v>56</v>
      </c>
      <c r="GX10" s="1">
        <v>5.21</v>
      </c>
      <c r="GY10" s="1">
        <v>9.6199999999999992</v>
      </c>
      <c r="GZ10" s="1">
        <v>3.4000000000000002E-2</v>
      </c>
      <c r="HA10" s="1">
        <v>54.4</v>
      </c>
      <c r="HB10" s="1">
        <v>36</v>
      </c>
      <c r="HC10" s="1">
        <v>81.7</v>
      </c>
      <c r="HD10" s="1">
        <v>1.4E-2</v>
      </c>
      <c r="HE10" s="1">
        <v>0.72</v>
      </c>
      <c r="HF10" s="1">
        <v>1.45</v>
      </c>
      <c r="HG10" s="1">
        <v>79.599999999999994</v>
      </c>
      <c r="HH10" s="1">
        <v>57.2</v>
      </c>
      <c r="HI10" s="1">
        <v>6.31</v>
      </c>
      <c r="HJ10" s="1">
        <v>67.099999999999994</v>
      </c>
      <c r="HK10" s="1">
        <v>23.6</v>
      </c>
      <c r="HL10" s="1">
        <v>3.47</v>
      </c>
      <c r="HM10" s="1">
        <v>26.3</v>
      </c>
      <c r="HN10" s="1">
        <v>95.8</v>
      </c>
      <c r="HO10" s="1">
        <v>4.4999999999999998E-2</v>
      </c>
      <c r="HP10" s="1">
        <v>4.12</v>
      </c>
      <c r="HQ10" s="1">
        <v>4.2000000000000003E-2</v>
      </c>
      <c r="HR10" s="1">
        <v>66.5</v>
      </c>
      <c r="HS10" s="1">
        <v>0.25</v>
      </c>
      <c r="HT10" s="1">
        <v>85.8</v>
      </c>
      <c r="HU10" s="1">
        <v>2.79</v>
      </c>
      <c r="HV10" s="1">
        <v>11.1</v>
      </c>
      <c r="HW10" s="1">
        <v>0.31</v>
      </c>
      <c r="HX10" s="1">
        <v>20.9</v>
      </c>
      <c r="HY10" s="1">
        <v>3.37</v>
      </c>
      <c r="HZ10" s="1">
        <v>2.14</v>
      </c>
      <c r="IA10" s="1">
        <v>4.78</v>
      </c>
      <c r="IB10" s="1">
        <v>89.7</v>
      </c>
      <c r="IC10" s="1">
        <v>8.94</v>
      </c>
      <c r="ID10" s="1">
        <v>5.3</v>
      </c>
      <c r="IE10" s="1">
        <v>11.8</v>
      </c>
      <c r="IF10" s="1">
        <v>53.1</v>
      </c>
      <c r="IG10" s="1">
        <v>22</v>
      </c>
      <c r="IH10" s="1">
        <v>27.6</v>
      </c>
      <c r="II10" s="1">
        <v>12.7</v>
      </c>
      <c r="IJ10" s="1">
        <v>2.71</v>
      </c>
      <c r="IK10" s="1">
        <v>0.97</v>
      </c>
      <c r="IL10" s="1">
        <v>10.6</v>
      </c>
      <c r="IM10" s="1">
        <v>1.99</v>
      </c>
      <c r="IN10" s="1">
        <v>94.1</v>
      </c>
      <c r="IO10" s="1">
        <v>2.1</v>
      </c>
      <c r="IP10" s="1">
        <v>2.52</v>
      </c>
      <c r="IQ10" s="1">
        <v>86.1</v>
      </c>
      <c r="IR10" s="1">
        <v>2.2000000000000002</v>
      </c>
      <c r="IS10" s="1">
        <v>38.4</v>
      </c>
      <c r="IT10" s="1">
        <v>10.6</v>
      </c>
      <c r="IU10" s="1">
        <v>46.4</v>
      </c>
      <c r="IV10" s="1">
        <v>0.47</v>
      </c>
      <c r="IW10" s="1">
        <v>6.32</v>
      </c>
      <c r="IX10" s="1">
        <v>47.4</v>
      </c>
      <c r="IY10" s="1">
        <v>39.9</v>
      </c>
      <c r="IZ10" s="1">
        <v>0.43</v>
      </c>
      <c r="JA10" s="1">
        <v>2.83</v>
      </c>
      <c r="JB10" s="1">
        <v>10.6</v>
      </c>
      <c r="JC10" s="1">
        <v>40.700000000000003</v>
      </c>
      <c r="JD10" s="1">
        <v>383</v>
      </c>
      <c r="JE10" s="1">
        <v>220</v>
      </c>
      <c r="JF10" s="1">
        <v>286</v>
      </c>
      <c r="JG10" s="1">
        <v>760</v>
      </c>
      <c r="JH10" s="1">
        <v>303</v>
      </c>
      <c r="JI10" s="1">
        <v>9.09</v>
      </c>
    </row>
    <row r="11" spans="1:269" ht="15.75" x14ac:dyDescent="0.5">
      <c r="A11" s="1" t="s">
        <v>1</v>
      </c>
      <c r="B11" s="43">
        <v>115</v>
      </c>
      <c r="C11" s="7">
        <v>27.82191780821918</v>
      </c>
      <c r="D11" s="1" t="s">
        <v>72</v>
      </c>
      <c r="E11" s="1" t="s">
        <v>71</v>
      </c>
      <c r="F11" s="1" t="s">
        <v>338</v>
      </c>
      <c r="G11" s="1" t="s">
        <v>340</v>
      </c>
      <c r="H11" s="1">
        <v>3</v>
      </c>
      <c r="I11" s="1">
        <v>0</v>
      </c>
      <c r="J11" s="1">
        <v>6</v>
      </c>
      <c r="K11" s="1">
        <v>0</v>
      </c>
      <c r="L11" s="1">
        <v>10</v>
      </c>
      <c r="M11" s="1" t="s">
        <v>340</v>
      </c>
      <c r="N11" s="1">
        <v>4</v>
      </c>
      <c r="O11" s="1" t="s">
        <v>339</v>
      </c>
      <c r="P11" s="1">
        <v>35</v>
      </c>
      <c r="Q11" s="1">
        <v>4</v>
      </c>
      <c r="R11" s="13">
        <v>2018</v>
      </c>
      <c r="S11" s="13">
        <f>2022-R11</f>
        <v>4</v>
      </c>
      <c r="T11" s="13" t="s">
        <v>341</v>
      </c>
      <c r="U11" s="1">
        <v>5</v>
      </c>
      <c r="V11" s="16" t="s">
        <v>352</v>
      </c>
      <c r="W11" s="1"/>
      <c r="X11" s="1"/>
      <c r="Y11" s="1"/>
      <c r="Z11" s="1"/>
      <c r="AA11" s="1" t="s">
        <v>341</v>
      </c>
      <c r="AB11" s="1">
        <v>200</v>
      </c>
      <c r="AC11" s="14">
        <v>43191</v>
      </c>
      <c r="AD11" s="13">
        <v>2</v>
      </c>
      <c r="AE11" s="1" t="s">
        <v>342</v>
      </c>
      <c r="AF11" s="1" t="s">
        <v>341</v>
      </c>
      <c r="AG11" s="1" t="s">
        <v>353</v>
      </c>
      <c r="AH11" s="1">
        <v>3</v>
      </c>
      <c r="AI11" s="1" t="s">
        <v>341</v>
      </c>
      <c r="AJ11" s="1" t="s">
        <v>341</v>
      </c>
      <c r="AK11" s="1">
        <v>50</v>
      </c>
      <c r="AL11" s="1" t="s">
        <v>354</v>
      </c>
      <c r="AM11" s="1" t="s">
        <v>341</v>
      </c>
      <c r="AN11" s="1">
        <v>10</v>
      </c>
      <c r="AO11" s="1" t="s">
        <v>355</v>
      </c>
      <c r="AP11" s="1"/>
      <c r="AQ11" s="1"/>
      <c r="AR11" s="1"/>
      <c r="AS11" s="1"/>
      <c r="AT11" s="1"/>
      <c r="AU11" s="1"/>
      <c r="AV11" s="1"/>
      <c r="AW11" s="1" t="s">
        <v>341</v>
      </c>
      <c r="AX11" s="1">
        <v>125</v>
      </c>
      <c r="AY11" s="1" t="s">
        <v>356</v>
      </c>
      <c r="AZ11" s="1"/>
      <c r="BA11" s="1"/>
      <c r="BB11" s="1"/>
      <c r="BC11" s="1" t="s">
        <v>341</v>
      </c>
      <c r="BD11" s="1" t="s">
        <v>357</v>
      </c>
      <c r="BE11" s="1" t="s">
        <v>358</v>
      </c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 t="s">
        <v>342</v>
      </c>
      <c r="CO11" s="1" t="s">
        <v>342</v>
      </c>
      <c r="CP11" s="1"/>
      <c r="CQ11" s="1" t="s">
        <v>341</v>
      </c>
      <c r="CR11" s="1">
        <v>1</v>
      </c>
      <c r="CS11" s="1" t="s">
        <v>342</v>
      </c>
      <c r="CT11" s="1"/>
      <c r="CU11" s="1"/>
      <c r="CV11" s="1" t="s">
        <v>342</v>
      </c>
      <c r="CW11" s="1"/>
      <c r="CX11" s="1" t="s">
        <v>342</v>
      </c>
      <c r="CY11" s="1" t="s">
        <v>347</v>
      </c>
      <c r="CZ11" s="1" t="s">
        <v>347</v>
      </c>
      <c r="DA11" s="1" t="s">
        <v>347</v>
      </c>
      <c r="DB11" s="1" t="s">
        <v>359</v>
      </c>
      <c r="DC11" s="1" t="s">
        <v>342</v>
      </c>
      <c r="DD11" s="1"/>
      <c r="DE11" s="1"/>
      <c r="DF11" s="1" t="s">
        <v>360</v>
      </c>
      <c r="DG11" s="1" t="s">
        <v>342</v>
      </c>
      <c r="DH11" s="1" t="s">
        <v>342</v>
      </c>
      <c r="DI11" s="1"/>
      <c r="DJ11" s="1" t="s">
        <v>342</v>
      </c>
      <c r="DK11" s="1"/>
      <c r="DL11" s="1"/>
      <c r="DM11" s="1" t="s">
        <v>348</v>
      </c>
      <c r="DN11" s="1"/>
      <c r="DO11" s="1"/>
      <c r="DP11" s="13">
        <v>0</v>
      </c>
      <c r="DQ11" s="13">
        <v>0</v>
      </c>
      <c r="DR11" s="13">
        <v>0</v>
      </c>
      <c r="DS11" s="13"/>
      <c r="DT11" s="13"/>
      <c r="DU11" s="13"/>
      <c r="DV11" s="13"/>
      <c r="DW11" s="13"/>
      <c r="DX11" s="13"/>
      <c r="DY11" s="13"/>
      <c r="DZ11" s="13"/>
      <c r="EA11" s="13" t="s">
        <v>342</v>
      </c>
      <c r="EB11" s="13" t="s">
        <v>342</v>
      </c>
      <c r="EC11" s="13" t="s">
        <v>342</v>
      </c>
      <c r="ED11" t="s">
        <v>342</v>
      </c>
      <c r="EE11" s="5" t="s">
        <v>342</v>
      </c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>
        <v>0</v>
      </c>
      <c r="EQ11" s="1" t="s">
        <v>341</v>
      </c>
      <c r="ER11" s="1" t="s">
        <v>341</v>
      </c>
      <c r="ES11" s="1" t="s">
        <v>341</v>
      </c>
      <c r="ET11" s="1" t="s">
        <v>342</v>
      </c>
      <c r="EU11" s="1" t="s">
        <v>341</v>
      </c>
      <c r="EV11" s="1" t="s">
        <v>341</v>
      </c>
      <c r="EW11" s="1"/>
      <c r="EX11" s="1" t="s">
        <v>361</v>
      </c>
      <c r="EY11" s="1">
        <v>7.5</v>
      </c>
      <c r="EZ11" s="1">
        <v>127</v>
      </c>
      <c r="FA11" s="1">
        <v>289</v>
      </c>
      <c r="FB11" s="1" t="s">
        <v>342</v>
      </c>
      <c r="FC11" s="1">
        <v>4.5999999999999996</v>
      </c>
      <c r="FD11" s="1" t="s">
        <v>342</v>
      </c>
      <c r="FE11" s="1">
        <v>2.2999999999999998</v>
      </c>
      <c r="FF11" s="1">
        <v>0.5</v>
      </c>
      <c r="FG11" s="1">
        <v>0</v>
      </c>
      <c r="FH11" s="1">
        <v>0.1</v>
      </c>
      <c r="FI11" s="1">
        <v>3.4</v>
      </c>
      <c r="FJ11" s="1">
        <v>52</v>
      </c>
      <c r="FK11" s="1" t="s">
        <v>350</v>
      </c>
      <c r="FL11" s="1">
        <v>11</v>
      </c>
      <c r="FM11" s="1">
        <v>0</v>
      </c>
      <c r="FN11" s="1" t="s">
        <v>342</v>
      </c>
      <c r="FO11" s="1">
        <v>22.9</v>
      </c>
      <c r="FP11" s="1">
        <v>2.77</v>
      </c>
      <c r="FQ11" s="1">
        <v>0.8</v>
      </c>
      <c r="FR11" s="1">
        <v>13.1</v>
      </c>
      <c r="FS11" s="1">
        <v>5.04</v>
      </c>
      <c r="FT11" s="1">
        <v>1.25</v>
      </c>
      <c r="FU11" s="1">
        <v>1.77</v>
      </c>
      <c r="FV11" s="1"/>
      <c r="FW11" s="1"/>
      <c r="FX11" s="1"/>
      <c r="FY11" s="1"/>
      <c r="FZ11" s="1"/>
      <c r="GA11" s="1"/>
      <c r="GB11" s="1"/>
      <c r="GC11" s="1">
        <v>145</v>
      </c>
      <c r="GD11" s="1" t="s">
        <v>362</v>
      </c>
      <c r="GE11" s="1">
        <v>1.1000000000000001</v>
      </c>
      <c r="GF11" s="1">
        <v>0.17</v>
      </c>
      <c r="GG11" s="1"/>
      <c r="GH11" s="1"/>
      <c r="GI11" s="1">
        <v>0</v>
      </c>
      <c r="GJ11" s="1">
        <v>0</v>
      </c>
      <c r="GK11" s="1">
        <v>0</v>
      </c>
      <c r="GL11" s="1" t="s">
        <v>360</v>
      </c>
      <c r="GM11" s="1"/>
      <c r="GN11" s="1"/>
      <c r="GO11" s="1"/>
      <c r="GP11" s="1"/>
      <c r="GQ11" s="1"/>
      <c r="GR11" s="1"/>
      <c r="GS11" s="1"/>
      <c r="GT11" s="1"/>
      <c r="GU11" s="1"/>
      <c r="GV11" s="1" t="s">
        <v>363</v>
      </c>
      <c r="GW11" s="1" t="s">
        <v>57</v>
      </c>
      <c r="GX11" s="1">
        <v>6.37</v>
      </c>
      <c r="GY11" s="1">
        <v>9.23</v>
      </c>
      <c r="GZ11" s="1">
        <v>0.16</v>
      </c>
      <c r="HA11" s="1">
        <v>35.4</v>
      </c>
      <c r="HB11" s="1">
        <v>55.2</v>
      </c>
      <c r="HC11" s="1">
        <v>78.900000000000006</v>
      </c>
      <c r="HD11" s="17">
        <v>6.2899999999999996E-3</v>
      </c>
      <c r="HE11" s="1">
        <v>0.22</v>
      </c>
      <c r="HF11" s="1">
        <v>0.87</v>
      </c>
      <c r="HG11" s="1">
        <v>77.8</v>
      </c>
      <c r="HH11" s="1">
        <v>43.3</v>
      </c>
      <c r="HI11" s="1">
        <v>4.5199999999999996</v>
      </c>
      <c r="HJ11" s="1">
        <v>64</v>
      </c>
      <c r="HK11" s="1">
        <v>27.1</v>
      </c>
      <c r="HL11" s="1">
        <v>4.57</v>
      </c>
      <c r="HM11" s="1">
        <v>24.3</v>
      </c>
      <c r="HN11" s="1">
        <v>64.3</v>
      </c>
      <c r="HO11" s="1">
        <v>4.45</v>
      </c>
      <c r="HP11" s="1">
        <v>21.7</v>
      </c>
      <c r="HQ11" s="1">
        <v>17</v>
      </c>
      <c r="HR11" s="1">
        <v>63.7</v>
      </c>
      <c r="HS11" s="1">
        <v>6.8</v>
      </c>
      <c r="HT11" s="1">
        <v>60.8</v>
      </c>
      <c r="HU11" s="1">
        <v>2.61</v>
      </c>
      <c r="HV11" s="1">
        <v>18</v>
      </c>
      <c r="HW11" s="1">
        <v>18.600000000000001</v>
      </c>
      <c r="HX11" s="1">
        <v>33.4</v>
      </c>
      <c r="HY11" s="1">
        <v>3.08</v>
      </c>
      <c r="HZ11" s="1">
        <v>5.98</v>
      </c>
      <c r="IA11" s="1">
        <v>9.11</v>
      </c>
      <c r="IB11" s="1">
        <v>81.8</v>
      </c>
      <c r="IC11" s="1">
        <v>10.4</v>
      </c>
      <c r="ID11" s="1">
        <v>1.85</v>
      </c>
      <c r="IE11" s="1">
        <v>13.1</v>
      </c>
      <c r="IF11" s="1">
        <v>69.8</v>
      </c>
      <c r="IG11" s="1">
        <v>6.76</v>
      </c>
      <c r="IH11" s="1">
        <v>37.799999999999997</v>
      </c>
      <c r="II11" s="1">
        <v>16.2</v>
      </c>
      <c r="IJ11" s="1">
        <v>2.2400000000000002</v>
      </c>
      <c r="IK11" s="1">
        <v>0.8</v>
      </c>
      <c r="IL11" s="1">
        <v>34.9</v>
      </c>
      <c r="IM11" s="1">
        <v>3.12</v>
      </c>
      <c r="IN11" s="1">
        <v>83.3</v>
      </c>
      <c r="IO11" s="1">
        <v>14.2</v>
      </c>
      <c r="IP11" s="1">
        <v>2.4900000000000002</v>
      </c>
      <c r="IQ11" s="1">
        <v>55.8</v>
      </c>
      <c r="IR11" s="1">
        <v>8.8699999999999992</v>
      </c>
      <c r="IS11" s="1">
        <v>34.4</v>
      </c>
      <c r="IT11" s="1">
        <v>1.43</v>
      </c>
      <c r="IU11" s="1">
        <v>56.2</v>
      </c>
      <c r="IV11" s="1">
        <v>0.25</v>
      </c>
      <c r="IW11" s="1">
        <v>5.85</v>
      </c>
      <c r="IX11" s="1">
        <v>70.599999999999994</v>
      </c>
      <c r="IY11" s="1">
        <v>87.6</v>
      </c>
      <c r="IZ11" s="1">
        <v>0.14000000000000001</v>
      </c>
      <c r="JA11" s="1">
        <v>1.99</v>
      </c>
      <c r="JB11" s="1">
        <v>18.600000000000001</v>
      </c>
      <c r="JC11" s="1">
        <v>-8.8800000000000008</v>
      </c>
      <c r="JD11" s="1">
        <v>237</v>
      </c>
      <c r="JE11" s="1">
        <v>224</v>
      </c>
      <c r="JF11" s="1">
        <v>167</v>
      </c>
      <c r="JG11" s="1">
        <v>277</v>
      </c>
      <c r="JH11" s="1">
        <v>126</v>
      </c>
      <c r="JI11" s="1">
        <v>-43.7</v>
      </c>
    </row>
    <row r="12" spans="1:269" ht="15.75" x14ac:dyDescent="0.5">
      <c r="A12" t="s">
        <v>55</v>
      </c>
      <c r="B12" s="43">
        <v>202</v>
      </c>
      <c r="C12" s="10">
        <v>28</v>
      </c>
      <c r="E12" t="s">
        <v>71</v>
      </c>
      <c r="H12" s="5"/>
      <c r="I12" s="5"/>
      <c r="R12" s="5"/>
      <c r="AD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GV12">
        <v>28</v>
      </c>
      <c r="GW12" t="s">
        <v>6</v>
      </c>
      <c r="GX12">
        <v>9.6300000000000008</v>
      </c>
      <c r="GY12">
        <v>6.33</v>
      </c>
      <c r="GZ12">
        <v>0.6</v>
      </c>
      <c r="HA12">
        <v>48.6</v>
      </c>
      <c r="HB12">
        <v>44.5</v>
      </c>
      <c r="HC12">
        <v>81.599999999999994</v>
      </c>
      <c r="HD12">
        <v>1.6E-2</v>
      </c>
      <c r="HE12">
        <v>1.65</v>
      </c>
      <c r="HF12">
        <v>2.02</v>
      </c>
      <c r="HG12">
        <v>78.2</v>
      </c>
      <c r="HH12">
        <v>43.4</v>
      </c>
      <c r="HI12">
        <v>7.5</v>
      </c>
      <c r="HJ12">
        <v>46.2</v>
      </c>
      <c r="HK12">
        <v>32.799999999999997</v>
      </c>
      <c r="HL12">
        <v>10.9</v>
      </c>
      <c r="HM12">
        <v>30.5</v>
      </c>
      <c r="HN12">
        <v>18.7</v>
      </c>
      <c r="HO12">
        <v>28.8</v>
      </c>
      <c r="HP12">
        <v>41.7</v>
      </c>
      <c r="HQ12">
        <v>10.8</v>
      </c>
      <c r="HR12">
        <v>48</v>
      </c>
      <c r="HS12">
        <v>13.6</v>
      </c>
      <c r="HT12">
        <v>22.8</v>
      </c>
      <c r="HU12">
        <v>13.6</v>
      </c>
      <c r="HV12">
        <v>48.2</v>
      </c>
      <c r="HW12">
        <v>15.5</v>
      </c>
      <c r="HX12">
        <v>31.3</v>
      </c>
      <c r="HY12">
        <v>1.61</v>
      </c>
      <c r="HZ12">
        <v>1.74</v>
      </c>
      <c r="IA12">
        <v>35.1</v>
      </c>
      <c r="IB12">
        <v>61.5</v>
      </c>
      <c r="IC12">
        <v>7.98</v>
      </c>
      <c r="ID12">
        <v>7.59</v>
      </c>
      <c r="IE12">
        <v>37.200000000000003</v>
      </c>
      <c r="IF12">
        <v>44.7</v>
      </c>
      <c r="IG12">
        <v>4.38</v>
      </c>
      <c r="IH12">
        <v>10.7</v>
      </c>
      <c r="II12">
        <v>12.2</v>
      </c>
      <c r="IJ12">
        <v>0.5</v>
      </c>
      <c r="IK12">
        <v>0.75</v>
      </c>
      <c r="IL12">
        <v>2.21</v>
      </c>
      <c r="IM12">
        <v>5.26</v>
      </c>
      <c r="IN12">
        <v>90.1</v>
      </c>
      <c r="IO12">
        <v>8.99</v>
      </c>
      <c r="IP12">
        <v>0.75</v>
      </c>
      <c r="IQ12">
        <v>81.8</v>
      </c>
      <c r="IR12">
        <v>11.4</v>
      </c>
      <c r="IS12">
        <v>53.6</v>
      </c>
      <c r="IT12">
        <v>13.6</v>
      </c>
      <c r="IU12">
        <v>25.3</v>
      </c>
      <c r="IV12">
        <v>0.64</v>
      </c>
      <c r="IW12">
        <v>7.11</v>
      </c>
      <c r="IX12">
        <v>29.5</v>
      </c>
      <c r="IY12">
        <v>68</v>
      </c>
      <c r="IZ12">
        <v>0.5</v>
      </c>
      <c r="JA12">
        <v>2.04</v>
      </c>
      <c r="JB12">
        <v>2.34</v>
      </c>
      <c r="JC12">
        <v>33.200000000000003</v>
      </c>
      <c r="JD12">
        <v>381</v>
      </c>
      <c r="JE12">
        <v>410</v>
      </c>
      <c r="JF12">
        <v>509</v>
      </c>
      <c r="JG12">
        <v>993</v>
      </c>
      <c r="JH12">
        <v>146</v>
      </c>
      <c r="JI12">
        <v>4.7300000000000004</v>
      </c>
    </row>
    <row r="13" spans="1:269" ht="15.75" x14ac:dyDescent="0.5">
      <c r="A13" t="s">
        <v>55</v>
      </c>
      <c r="B13" s="43">
        <v>246</v>
      </c>
      <c r="C13" s="6">
        <v>21.306849315068494</v>
      </c>
      <c r="E13" t="s">
        <v>77</v>
      </c>
      <c r="H13" s="5"/>
      <c r="I13" s="5"/>
      <c r="R13" s="5"/>
      <c r="AD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GV13" s="5">
        <v>21.306849315068494</v>
      </c>
      <c r="GW13" s="4" t="s">
        <v>50</v>
      </c>
      <c r="GX13" s="27">
        <v>11.9</v>
      </c>
      <c r="GY13" s="27">
        <v>3.18</v>
      </c>
      <c r="GZ13">
        <v>1.9999999999996021E-2</v>
      </c>
      <c r="HA13" s="27">
        <v>56.2</v>
      </c>
      <c r="HB13" s="27">
        <v>40.6</v>
      </c>
      <c r="HC13" s="27">
        <v>78.400000000000006</v>
      </c>
      <c r="HD13" s="27">
        <v>3.5000000000000003E-2</v>
      </c>
      <c r="HE13" s="27">
        <v>0.6</v>
      </c>
      <c r="HF13" s="27">
        <v>4</v>
      </c>
      <c r="HG13" s="27">
        <v>73.8</v>
      </c>
      <c r="HH13" s="27">
        <v>37.299999999999997</v>
      </c>
      <c r="HI13" s="27">
        <v>5.5</v>
      </c>
      <c r="HJ13" s="27">
        <v>60.3</v>
      </c>
      <c r="HK13" s="27">
        <v>20.5</v>
      </c>
      <c r="HL13" s="27">
        <v>10.5</v>
      </c>
      <c r="HM13" s="27">
        <v>28.1</v>
      </c>
      <c r="HN13" s="27">
        <v>25.4</v>
      </c>
      <c r="HO13" s="27">
        <v>12</v>
      </c>
      <c r="HP13" s="27">
        <v>52.9</v>
      </c>
      <c r="HQ13" s="27">
        <v>9.7100000000000009</v>
      </c>
      <c r="HR13" s="27">
        <v>60.3</v>
      </c>
      <c r="HS13" s="27">
        <v>5.2</v>
      </c>
      <c r="HT13" s="27">
        <v>27.5</v>
      </c>
      <c r="HU13" s="27">
        <v>8.36</v>
      </c>
      <c r="HV13" s="27">
        <v>46.4</v>
      </c>
      <c r="HW13" s="27">
        <v>17.8</v>
      </c>
      <c r="HX13" s="27">
        <v>35.200000000000003</v>
      </c>
      <c r="HY13" s="27">
        <v>5.51</v>
      </c>
      <c r="HZ13" s="27">
        <v>38.4</v>
      </c>
      <c r="IA13" s="27">
        <v>25.9</v>
      </c>
      <c r="IB13" s="27">
        <v>30.2</v>
      </c>
      <c r="IC13" s="27">
        <v>4.4800000000000004</v>
      </c>
      <c r="ID13" s="27">
        <v>4.0599999999999996</v>
      </c>
      <c r="IE13" s="27">
        <v>14.1</v>
      </c>
      <c r="IF13" s="27">
        <v>74.099999999999994</v>
      </c>
      <c r="IG13" s="27">
        <v>7.17</v>
      </c>
      <c r="IH13" s="27">
        <v>14.6</v>
      </c>
      <c r="II13" s="27">
        <v>17</v>
      </c>
      <c r="IJ13" s="27">
        <v>2.16</v>
      </c>
      <c r="IK13" s="27">
        <v>0.85</v>
      </c>
      <c r="IL13" s="27">
        <v>3.91</v>
      </c>
      <c r="IM13" s="27">
        <v>5.77</v>
      </c>
      <c r="IN13" s="27">
        <v>35.6</v>
      </c>
      <c r="IO13" s="27">
        <v>63.2</v>
      </c>
      <c r="IP13" s="27">
        <v>1.26</v>
      </c>
      <c r="IQ13" s="27">
        <v>63.1</v>
      </c>
      <c r="IR13" s="27">
        <v>30.9</v>
      </c>
      <c r="IS13" s="27">
        <v>43.6</v>
      </c>
      <c r="IU13" s="27">
        <v>31.8</v>
      </c>
      <c r="IV13" s="27">
        <v>0.84</v>
      </c>
      <c r="IW13" s="27">
        <v>7.95</v>
      </c>
      <c r="IX13" s="27">
        <v>29</v>
      </c>
      <c r="IY13" s="27">
        <v>48.4</v>
      </c>
      <c r="IZ13" s="27">
        <v>0.11</v>
      </c>
      <c r="JA13" s="27">
        <v>2.8</v>
      </c>
      <c r="JB13" s="27">
        <v>9.5500000000000007</v>
      </c>
      <c r="JC13" s="27">
        <v>-13.1</v>
      </c>
      <c r="JD13" s="27">
        <v>602</v>
      </c>
      <c r="JE13" s="27">
        <v>744</v>
      </c>
      <c r="JF13" s="27">
        <v>632</v>
      </c>
      <c r="JG13" s="27">
        <v>761</v>
      </c>
      <c r="JH13" s="27">
        <v>512</v>
      </c>
      <c r="JI13" s="27">
        <v>63.6</v>
      </c>
    </row>
    <row r="14" spans="1:269" ht="15.75" x14ac:dyDescent="0.5">
      <c r="A14" t="s">
        <v>55</v>
      </c>
      <c r="B14" s="43">
        <v>203</v>
      </c>
      <c r="C14" s="10">
        <v>30</v>
      </c>
      <c r="E14" t="s">
        <v>77</v>
      </c>
      <c r="H14" s="5"/>
      <c r="I14" s="5"/>
      <c r="R14" s="5"/>
      <c r="S14" s="23"/>
      <c r="AD14" s="5"/>
      <c r="DP14" s="5"/>
      <c r="DQ14" s="5"/>
      <c r="DR14" s="23"/>
      <c r="DS14" s="23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GV14" s="24">
        <v>30</v>
      </c>
      <c r="GW14" t="s">
        <v>7</v>
      </c>
      <c r="GX14">
        <v>19.7</v>
      </c>
      <c r="GY14">
        <v>2.5299999999999998</v>
      </c>
      <c r="GZ14">
        <v>5.8999999999999997E-2</v>
      </c>
      <c r="HA14">
        <v>24.5</v>
      </c>
      <c r="HB14">
        <v>72.900000000000006</v>
      </c>
      <c r="HC14">
        <v>64.5</v>
      </c>
      <c r="HD14" s="20">
        <v>9.4900000000000002E-3</v>
      </c>
      <c r="HE14">
        <v>9.9600000000000009</v>
      </c>
      <c r="HF14">
        <v>3.95</v>
      </c>
      <c r="HG14">
        <v>54.1</v>
      </c>
      <c r="HH14">
        <v>28.9</v>
      </c>
      <c r="HI14">
        <v>7.33</v>
      </c>
      <c r="HJ14">
        <v>55.5</v>
      </c>
      <c r="HK14">
        <v>22.8</v>
      </c>
      <c r="HL14">
        <v>13.6</v>
      </c>
      <c r="HM14">
        <v>29.7</v>
      </c>
      <c r="HN14">
        <v>63.7</v>
      </c>
      <c r="HO14">
        <v>3.85</v>
      </c>
      <c r="HP14">
        <v>25.9</v>
      </c>
      <c r="HQ14">
        <v>6.57</v>
      </c>
      <c r="HR14">
        <v>54.5</v>
      </c>
      <c r="HS14">
        <v>6.25</v>
      </c>
      <c r="HT14">
        <v>73</v>
      </c>
      <c r="HU14">
        <v>0.65</v>
      </c>
      <c r="HV14">
        <v>21.5</v>
      </c>
      <c r="HW14">
        <v>4.8899999999999997</v>
      </c>
      <c r="HX14">
        <v>24.4</v>
      </c>
      <c r="HY14">
        <v>2.2000000000000002</v>
      </c>
      <c r="HZ14">
        <v>5.9</v>
      </c>
      <c r="IA14">
        <v>12.6</v>
      </c>
      <c r="IB14">
        <v>79.3</v>
      </c>
      <c r="IC14">
        <v>12.4</v>
      </c>
      <c r="ID14">
        <v>2.75</v>
      </c>
      <c r="IE14">
        <v>41</v>
      </c>
      <c r="IF14">
        <v>35.299999999999997</v>
      </c>
      <c r="IG14">
        <v>4.24</v>
      </c>
      <c r="IH14">
        <v>14.9</v>
      </c>
      <c r="II14">
        <v>22.8</v>
      </c>
      <c r="IJ14">
        <v>2.31</v>
      </c>
      <c r="IK14">
        <v>1.37</v>
      </c>
      <c r="IL14">
        <v>29.8</v>
      </c>
      <c r="IM14">
        <v>5.57</v>
      </c>
      <c r="IN14">
        <v>85.7</v>
      </c>
      <c r="IO14">
        <v>10.6</v>
      </c>
      <c r="IP14">
        <v>3.63</v>
      </c>
      <c r="IQ14">
        <v>49.8</v>
      </c>
      <c r="IR14">
        <v>14.6</v>
      </c>
      <c r="IS14">
        <v>48.5</v>
      </c>
      <c r="IT14">
        <v>3.87</v>
      </c>
      <c r="IU14">
        <v>39.700000000000003</v>
      </c>
      <c r="IV14">
        <v>0.32</v>
      </c>
      <c r="IW14">
        <v>6.51</v>
      </c>
      <c r="IX14">
        <v>51.2</v>
      </c>
      <c r="IY14">
        <v>82.7</v>
      </c>
      <c r="IZ14">
        <v>0.28000000000000003</v>
      </c>
      <c r="JA14">
        <v>2.15</v>
      </c>
      <c r="JB14">
        <v>16.7</v>
      </c>
      <c r="JC14">
        <v>28.8</v>
      </c>
      <c r="JD14">
        <v>369</v>
      </c>
      <c r="JE14">
        <v>387</v>
      </c>
      <c r="JF14">
        <v>187</v>
      </c>
      <c r="JG14">
        <v>425</v>
      </c>
      <c r="JH14">
        <v>171</v>
      </c>
      <c r="JI14">
        <v>-11.4</v>
      </c>
    </row>
    <row r="15" spans="1:269" ht="15.75" x14ac:dyDescent="0.5">
      <c r="A15" t="s">
        <v>55</v>
      </c>
      <c r="B15" s="43">
        <v>201</v>
      </c>
      <c r="C15" s="10">
        <v>49</v>
      </c>
      <c r="E15" s="3" t="s">
        <v>71</v>
      </c>
      <c r="H15" s="5"/>
      <c r="I15" s="5"/>
      <c r="R15" s="5"/>
      <c r="S15" s="23"/>
      <c r="AD15" s="5"/>
      <c r="DP15" s="5"/>
      <c r="DQ15" s="5"/>
      <c r="DR15" s="23"/>
      <c r="DS15" s="23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GV15">
        <v>49</v>
      </c>
      <c r="GW15" t="s">
        <v>5</v>
      </c>
      <c r="GX15">
        <v>25.4</v>
      </c>
      <c r="GY15">
        <v>5.48</v>
      </c>
      <c r="GZ15">
        <v>0.67</v>
      </c>
      <c r="HA15">
        <v>50.5</v>
      </c>
      <c r="HB15">
        <v>43.4</v>
      </c>
      <c r="HC15">
        <v>63.9</v>
      </c>
      <c r="HD15">
        <v>0.25</v>
      </c>
      <c r="HE15">
        <v>4.25</v>
      </c>
      <c r="HF15">
        <v>8.58</v>
      </c>
      <c r="HG15">
        <v>52.2</v>
      </c>
      <c r="HH15">
        <v>39.5</v>
      </c>
      <c r="HI15">
        <v>6.81</v>
      </c>
      <c r="HJ15">
        <v>19.8</v>
      </c>
      <c r="HK15">
        <v>44.2</v>
      </c>
      <c r="HL15">
        <v>28.2</v>
      </c>
      <c r="HM15">
        <v>58.7</v>
      </c>
      <c r="HN15">
        <v>38.299999999999997</v>
      </c>
      <c r="HO15">
        <v>19.7</v>
      </c>
      <c r="HP15">
        <v>29.4</v>
      </c>
      <c r="HQ15">
        <v>12.6</v>
      </c>
      <c r="HR15">
        <v>20.100000000000001</v>
      </c>
      <c r="HS15">
        <v>14</v>
      </c>
      <c r="HT15">
        <v>36</v>
      </c>
      <c r="HU15">
        <v>6.2</v>
      </c>
      <c r="HV15">
        <v>45.3</v>
      </c>
      <c r="HW15">
        <v>12.6</v>
      </c>
      <c r="HX15">
        <v>11.9</v>
      </c>
      <c r="HY15">
        <v>19</v>
      </c>
      <c r="HZ15">
        <v>22</v>
      </c>
      <c r="IA15">
        <v>34.5</v>
      </c>
      <c r="IB15">
        <v>24.4</v>
      </c>
      <c r="IC15">
        <v>12.9</v>
      </c>
      <c r="ID15">
        <v>5.5</v>
      </c>
      <c r="IE15">
        <v>49.3</v>
      </c>
      <c r="IF15">
        <v>37.299999999999997</v>
      </c>
      <c r="IG15">
        <v>3.2</v>
      </c>
      <c r="IH15">
        <v>14</v>
      </c>
      <c r="II15">
        <v>15.5</v>
      </c>
      <c r="IJ15">
        <v>0.94</v>
      </c>
      <c r="IK15">
        <v>2.11</v>
      </c>
      <c r="IL15">
        <v>2.4700000000000002</v>
      </c>
      <c r="IM15">
        <v>10.7</v>
      </c>
      <c r="IN15">
        <v>88.7</v>
      </c>
      <c r="IO15">
        <v>8.42</v>
      </c>
      <c r="IP15">
        <v>2.4700000000000002</v>
      </c>
      <c r="IQ15">
        <v>83.7</v>
      </c>
      <c r="IR15">
        <v>4.1900000000000004</v>
      </c>
      <c r="IS15">
        <v>60.8</v>
      </c>
      <c r="IT15">
        <v>6.37</v>
      </c>
      <c r="IU15">
        <v>30.1</v>
      </c>
      <c r="IV15">
        <v>2.2599999999999998</v>
      </c>
      <c r="IW15">
        <v>8.83</v>
      </c>
      <c r="IX15">
        <v>27.2</v>
      </c>
      <c r="IY15">
        <v>58.6</v>
      </c>
      <c r="IZ15">
        <v>0.49</v>
      </c>
      <c r="JA15">
        <v>1.21</v>
      </c>
      <c r="JB15">
        <v>3.1</v>
      </c>
      <c r="JC15">
        <v>61.6</v>
      </c>
      <c r="JD15">
        <v>581</v>
      </c>
      <c r="JE15">
        <v>624</v>
      </c>
      <c r="JF15">
        <v>689</v>
      </c>
      <c r="JG15">
        <v>872</v>
      </c>
      <c r="JH15">
        <v>555</v>
      </c>
      <c r="JI15">
        <v>220</v>
      </c>
    </row>
    <row r="16" spans="1:269" ht="15.75" x14ac:dyDescent="0.5">
      <c r="A16" t="s">
        <v>55</v>
      </c>
      <c r="B16" s="43">
        <v>198</v>
      </c>
      <c r="C16" s="10">
        <v>34</v>
      </c>
      <c r="E16" t="s">
        <v>77</v>
      </c>
      <c r="H16" s="5"/>
      <c r="I16" s="5"/>
      <c r="R16" s="5"/>
      <c r="S16" s="23"/>
      <c r="AD16" s="5"/>
      <c r="DP16" s="5"/>
      <c r="DQ16" s="5"/>
      <c r="DR16" s="23"/>
      <c r="DS16" s="23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GV16">
        <v>34</v>
      </c>
      <c r="GW16" t="s">
        <v>2</v>
      </c>
      <c r="GX16">
        <v>15</v>
      </c>
      <c r="GY16">
        <v>2.36</v>
      </c>
      <c r="GZ16">
        <v>2.5999999999999999E-2</v>
      </c>
      <c r="HA16">
        <v>50.1</v>
      </c>
      <c r="HB16">
        <v>47.6</v>
      </c>
      <c r="HC16">
        <v>67.400000000000006</v>
      </c>
      <c r="HD16">
        <v>1.6E-2</v>
      </c>
      <c r="HE16">
        <v>5.34</v>
      </c>
      <c r="HF16">
        <v>2.0499999999999998</v>
      </c>
      <c r="HG16">
        <v>61.7</v>
      </c>
      <c r="HH16">
        <v>43.7</v>
      </c>
      <c r="HI16">
        <v>8.48</v>
      </c>
      <c r="HJ16">
        <v>59.8</v>
      </c>
      <c r="HK16">
        <v>6.48</v>
      </c>
      <c r="HL16">
        <v>3.93</v>
      </c>
      <c r="HM16">
        <v>7.37</v>
      </c>
      <c r="HN16">
        <v>34.299999999999997</v>
      </c>
      <c r="HO16">
        <v>21.5</v>
      </c>
      <c r="HP16">
        <v>26.9</v>
      </c>
      <c r="HQ16">
        <v>17.399999999999999</v>
      </c>
      <c r="HR16">
        <v>74.900000000000006</v>
      </c>
      <c r="HS16">
        <v>1.67</v>
      </c>
      <c r="HT16">
        <v>17.899999999999999</v>
      </c>
      <c r="HU16">
        <v>15.8</v>
      </c>
      <c r="HV16">
        <v>46.2</v>
      </c>
      <c r="HW16">
        <v>20.2</v>
      </c>
      <c r="HX16">
        <v>16.600000000000001</v>
      </c>
      <c r="HY16">
        <v>1.78</v>
      </c>
      <c r="HZ16">
        <v>4.16</v>
      </c>
      <c r="IA16">
        <v>29.7</v>
      </c>
      <c r="IB16">
        <v>64.3</v>
      </c>
      <c r="IC16">
        <v>14.5</v>
      </c>
      <c r="ID16">
        <v>3.43</v>
      </c>
      <c r="IE16">
        <v>16.8</v>
      </c>
      <c r="IF16">
        <v>68.5</v>
      </c>
      <c r="IG16">
        <v>8.11</v>
      </c>
      <c r="IH16">
        <v>10.9</v>
      </c>
      <c r="II16">
        <v>12.6</v>
      </c>
      <c r="IJ16">
        <v>0.52</v>
      </c>
      <c r="IK16">
        <v>0.57999999999999996</v>
      </c>
      <c r="IL16">
        <v>2.4500000000000002</v>
      </c>
      <c r="IM16">
        <v>0.35</v>
      </c>
      <c r="IN16">
        <v>79</v>
      </c>
      <c r="IO16">
        <v>20.100000000000001</v>
      </c>
      <c r="IP16">
        <v>0.84</v>
      </c>
      <c r="IQ16">
        <v>90.5</v>
      </c>
      <c r="IR16">
        <v>7.68</v>
      </c>
      <c r="IS16">
        <v>64.900000000000006</v>
      </c>
      <c r="IT16">
        <v>4.9800000000000004</v>
      </c>
      <c r="IU16">
        <v>23.9</v>
      </c>
      <c r="IV16">
        <v>0.6</v>
      </c>
      <c r="IW16">
        <v>6.43</v>
      </c>
      <c r="IX16">
        <v>26.4</v>
      </c>
      <c r="IY16">
        <v>23.2</v>
      </c>
      <c r="IZ16">
        <v>2.11</v>
      </c>
      <c r="JA16">
        <v>3.27</v>
      </c>
      <c r="JB16">
        <v>5.12</v>
      </c>
      <c r="JC16">
        <v>97.8</v>
      </c>
      <c r="JD16">
        <v>748</v>
      </c>
      <c r="JE16">
        <v>1094</v>
      </c>
      <c r="JF16">
        <v>755</v>
      </c>
      <c r="JG16">
        <v>1103</v>
      </c>
      <c r="JH16">
        <v>438</v>
      </c>
      <c r="JI16">
        <v>9.82</v>
      </c>
    </row>
    <row r="17" spans="1:269" ht="15.75" x14ac:dyDescent="0.5">
      <c r="A17" t="s">
        <v>55</v>
      </c>
      <c r="B17" s="43">
        <v>250</v>
      </c>
      <c r="C17" s="6">
        <v>22.452054794520549</v>
      </c>
      <c r="E17" s="3" t="s">
        <v>71</v>
      </c>
      <c r="H17" s="5"/>
      <c r="I17" s="5"/>
      <c r="R17" s="5"/>
      <c r="AD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GV17" s="5">
        <v>22.452054794520549</v>
      </c>
      <c r="GW17" s="4" t="s">
        <v>54</v>
      </c>
      <c r="GX17" s="27">
        <v>10.4</v>
      </c>
      <c r="GY17" s="27">
        <v>5.85</v>
      </c>
      <c r="GZ17">
        <v>4.9999999999997158E-2</v>
      </c>
      <c r="HA17" s="27">
        <v>41</v>
      </c>
      <c r="HB17" s="27">
        <v>53.1</v>
      </c>
      <c r="HC17" s="27">
        <v>74.5</v>
      </c>
      <c r="HD17" s="27">
        <v>0.12</v>
      </c>
      <c r="HE17" s="27">
        <v>5.96</v>
      </c>
      <c r="HF17" s="27">
        <v>8.2799999999999994</v>
      </c>
      <c r="HG17" s="27">
        <v>59.9</v>
      </c>
      <c r="HH17" s="27">
        <v>42</v>
      </c>
      <c r="HI17" s="27">
        <v>6.3</v>
      </c>
      <c r="HJ17" s="27">
        <v>55.1</v>
      </c>
      <c r="HK17" s="27">
        <v>23.2</v>
      </c>
      <c r="HL17" s="27">
        <v>9.5299999999999994</v>
      </c>
      <c r="HM17" s="27">
        <v>32.4</v>
      </c>
      <c r="HN17" s="27">
        <v>58.1</v>
      </c>
      <c r="HO17" s="27">
        <v>8.41</v>
      </c>
      <c r="HP17" s="27">
        <v>12</v>
      </c>
      <c r="HQ17" s="27">
        <v>21.5</v>
      </c>
      <c r="HR17" s="27">
        <v>55.1</v>
      </c>
      <c r="HS17" s="27">
        <v>4.99</v>
      </c>
      <c r="HT17" s="27">
        <v>53.7</v>
      </c>
      <c r="HU17" s="27">
        <v>3.04</v>
      </c>
      <c r="HV17" s="27">
        <v>30.6</v>
      </c>
      <c r="HW17" s="27">
        <v>12.7</v>
      </c>
      <c r="HX17" s="27">
        <v>16.600000000000001</v>
      </c>
      <c r="HY17" s="27">
        <v>3.01</v>
      </c>
      <c r="HZ17" s="27">
        <v>10.7</v>
      </c>
      <c r="IA17" s="27">
        <v>14</v>
      </c>
      <c r="IB17" s="27">
        <v>72.3</v>
      </c>
      <c r="IC17" s="27">
        <v>12.6</v>
      </c>
      <c r="ID17" s="27">
        <v>2.5</v>
      </c>
      <c r="IE17" s="27">
        <v>32.1</v>
      </c>
      <c r="IF17" s="27">
        <v>48.1</v>
      </c>
      <c r="IG17" s="27">
        <v>17.3</v>
      </c>
      <c r="IH17" s="27">
        <v>14.6</v>
      </c>
      <c r="II17" s="27">
        <v>27.4</v>
      </c>
      <c r="IJ17" s="27">
        <v>1.23</v>
      </c>
      <c r="IK17" s="27">
        <v>2.0499999999999998</v>
      </c>
      <c r="IL17" s="27">
        <v>2.15</v>
      </c>
      <c r="IM17" s="27">
        <v>4.7</v>
      </c>
      <c r="IN17" s="27">
        <v>70.3</v>
      </c>
      <c r="IO17" s="27">
        <v>27.1</v>
      </c>
      <c r="IP17" s="27">
        <v>2.5299999999999998</v>
      </c>
      <c r="IQ17" s="27">
        <v>70</v>
      </c>
      <c r="IR17" s="27">
        <v>25.3</v>
      </c>
      <c r="IS17" s="27">
        <v>47.6</v>
      </c>
      <c r="IU17" s="27">
        <v>41.6</v>
      </c>
      <c r="IV17" s="27">
        <v>0.82</v>
      </c>
      <c r="IW17" s="27">
        <v>9.19</v>
      </c>
      <c r="IX17" s="27">
        <v>64.900000000000006</v>
      </c>
      <c r="IY17" s="27">
        <v>55.6</v>
      </c>
      <c r="IZ17" s="27">
        <v>0.39</v>
      </c>
      <c r="JA17" s="27">
        <v>3.92</v>
      </c>
      <c r="JB17" s="27">
        <v>6.3</v>
      </c>
      <c r="JC17" s="27">
        <v>-1.2E-2</v>
      </c>
      <c r="JD17" s="27">
        <v>272</v>
      </c>
      <c r="JE17" s="27">
        <v>381</v>
      </c>
      <c r="JF17" s="27">
        <v>412</v>
      </c>
      <c r="JG17" s="27">
        <v>809</v>
      </c>
      <c r="JH17" s="27">
        <v>360</v>
      </c>
      <c r="JI17" s="27">
        <v>32.299999999999997</v>
      </c>
    </row>
    <row r="18" spans="1:269" ht="15.75" x14ac:dyDescent="0.5">
      <c r="A18" t="s">
        <v>55</v>
      </c>
      <c r="B18" s="43">
        <v>199</v>
      </c>
      <c r="C18" s="10">
        <v>39</v>
      </c>
      <c r="E18" t="s">
        <v>77</v>
      </c>
      <c r="H18" s="5"/>
      <c r="I18" s="5"/>
      <c r="R18" s="5"/>
      <c r="AD18" s="5"/>
      <c r="DP18" s="5"/>
      <c r="DQ18" s="5"/>
      <c r="DR18" s="23"/>
      <c r="DS18" s="23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GV18">
        <v>39</v>
      </c>
      <c r="GW18" t="s">
        <v>3</v>
      </c>
      <c r="GX18">
        <v>9.07</v>
      </c>
      <c r="GY18">
        <v>3.6</v>
      </c>
      <c r="GZ18">
        <v>0.28000000000000003</v>
      </c>
      <c r="HA18">
        <v>36.6</v>
      </c>
      <c r="HB18">
        <v>59.5</v>
      </c>
      <c r="HC18">
        <v>72.900000000000006</v>
      </c>
      <c r="HD18">
        <v>1.9E-2</v>
      </c>
      <c r="HE18">
        <v>1.1299999999999999</v>
      </c>
      <c r="HF18">
        <v>2.58</v>
      </c>
      <c r="HG18">
        <v>69.5</v>
      </c>
      <c r="HH18">
        <v>48.8</v>
      </c>
      <c r="HI18">
        <v>4.8600000000000003</v>
      </c>
      <c r="HJ18">
        <v>62.4</v>
      </c>
      <c r="HK18">
        <v>23.7</v>
      </c>
      <c r="HL18">
        <v>8.3800000000000008</v>
      </c>
      <c r="HM18">
        <v>27.3</v>
      </c>
      <c r="HN18">
        <v>41.9</v>
      </c>
      <c r="HO18">
        <v>12.8</v>
      </c>
      <c r="HP18">
        <v>37.9</v>
      </c>
      <c r="HQ18">
        <v>7.32</v>
      </c>
      <c r="HR18">
        <v>60.1</v>
      </c>
      <c r="HS18">
        <v>4.08</v>
      </c>
      <c r="HT18">
        <v>57.5</v>
      </c>
      <c r="HU18">
        <v>2.54</v>
      </c>
      <c r="HV18">
        <v>28.4</v>
      </c>
      <c r="HW18">
        <v>11.6</v>
      </c>
      <c r="HX18">
        <v>17.7</v>
      </c>
      <c r="HY18">
        <v>10.1</v>
      </c>
      <c r="HZ18">
        <v>19.3</v>
      </c>
      <c r="IA18">
        <v>16.399999999999999</v>
      </c>
      <c r="IB18">
        <v>54.2</v>
      </c>
      <c r="IC18">
        <v>13.6</v>
      </c>
      <c r="ID18">
        <v>4.0999999999999996</v>
      </c>
      <c r="IE18">
        <v>24.6</v>
      </c>
      <c r="IF18">
        <v>42.5</v>
      </c>
      <c r="IG18">
        <v>14.1</v>
      </c>
      <c r="IH18">
        <v>10.4</v>
      </c>
      <c r="II18">
        <v>10.5</v>
      </c>
      <c r="IJ18">
        <v>0.88</v>
      </c>
      <c r="IK18">
        <v>0.52</v>
      </c>
      <c r="IL18">
        <v>7.86</v>
      </c>
      <c r="IM18">
        <v>1.91</v>
      </c>
      <c r="IN18">
        <v>92.5</v>
      </c>
      <c r="IO18">
        <v>6.17</v>
      </c>
      <c r="IP18">
        <v>1.25</v>
      </c>
      <c r="IQ18">
        <v>81.7</v>
      </c>
      <c r="IR18">
        <v>8.9</v>
      </c>
      <c r="IS18">
        <v>65.599999999999994</v>
      </c>
      <c r="IT18">
        <v>8.31</v>
      </c>
      <c r="IU18">
        <v>21.8</v>
      </c>
      <c r="IV18">
        <v>1.35</v>
      </c>
      <c r="IW18">
        <v>17.600000000000001</v>
      </c>
      <c r="IX18">
        <v>68.8</v>
      </c>
      <c r="IY18">
        <v>77.900000000000006</v>
      </c>
      <c r="IZ18">
        <v>0.43</v>
      </c>
      <c r="JA18">
        <v>3.77</v>
      </c>
      <c r="JB18">
        <v>36.9</v>
      </c>
      <c r="JC18">
        <v>53.3</v>
      </c>
      <c r="JD18">
        <v>384</v>
      </c>
      <c r="JE18">
        <v>367</v>
      </c>
      <c r="JF18">
        <v>670</v>
      </c>
      <c r="JG18">
        <v>947</v>
      </c>
      <c r="JH18">
        <v>340</v>
      </c>
      <c r="JI18">
        <v>23.3</v>
      </c>
    </row>
    <row r="19" spans="1:269" ht="15.75" x14ac:dyDescent="0.5">
      <c r="A19" t="s">
        <v>55</v>
      </c>
      <c r="B19" s="43">
        <v>200</v>
      </c>
      <c r="C19" s="10">
        <v>36</v>
      </c>
      <c r="E19" s="3" t="s">
        <v>71</v>
      </c>
      <c r="H19" s="5"/>
      <c r="I19" s="5"/>
      <c r="R19" s="5"/>
      <c r="AD19" s="5"/>
      <c r="DP19" s="5"/>
      <c r="DQ19" s="5"/>
      <c r="DR19" s="23"/>
      <c r="DS19" s="23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GV19" s="24">
        <v>36</v>
      </c>
      <c r="GW19" t="s">
        <v>4</v>
      </c>
      <c r="GX19">
        <v>12.6</v>
      </c>
      <c r="GY19">
        <v>4.76</v>
      </c>
      <c r="GZ19">
        <v>0.21</v>
      </c>
      <c r="HA19">
        <v>40.6</v>
      </c>
      <c r="HB19">
        <v>54.5</v>
      </c>
      <c r="HC19">
        <v>71.900000000000006</v>
      </c>
      <c r="HD19">
        <v>0.12</v>
      </c>
      <c r="HE19">
        <v>4.2</v>
      </c>
      <c r="HF19">
        <v>2.08</v>
      </c>
      <c r="HG19">
        <v>66.599999999999994</v>
      </c>
      <c r="HH19">
        <v>55.4</v>
      </c>
      <c r="HI19">
        <v>5.68</v>
      </c>
      <c r="HJ19">
        <v>45.9</v>
      </c>
      <c r="HK19">
        <v>33.700000000000003</v>
      </c>
      <c r="HL19">
        <v>13</v>
      </c>
      <c r="HM19">
        <v>38.1</v>
      </c>
      <c r="HN19">
        <v>24.5</v>
      </c>
      <c r="HO19">
        <v>24.6</v>
      </c>
      <c r="HP19">
        <v>38.6</v>
      </c>
      <c r="HQ19">
        <v>12.2</v>
      </c>
      <c r="HR19">
        <v>47</v>
      </c>
      <c r="HS19">
        <v>9.09</v>
      </c>
      <c r="HT19">
        <v>31.7</v>
      </c>
      <c r="HU19">
        <v>13</v>
      </c>
      <c r="HV19">
        <v>34.5</v>
      </c>
      <c r="HW19">
        <v>20.8</v>
      </c>
      <c r="HX19">
        <v>10.199999999999999</v>
      </c>
      <c r="HY19">
        <v>8.5500000000000007</v>
      </c>
      <c r="HZ19">
        <v>12.8</v>
      </c>
      <c r="IA19">
        <v>9.81</v>
      </c>
      <c r="IB19">
        <v>68.8</v>
      </c>
      <c r="IC19">
        <v>14.7</v>
      </c>
      <c r="ID19">
        <v>3.1</v>
      </c>
      <c r="IE19">
        <v>33.9</v>
      </c>
      <c r="IF19">
        <v>49.6</v>
      </c>
      <c r="IG19">
        <v>4.9000000000000004</v>
      </c>
      <c r="IH19">
        <v>25.8</v>
      </c>
      <c r="II19">
        <v>15.4</v>
      </c>
      <c r="IJ19">
        <v>1</v>
      </c>
      <c r="IK19">
        <v>1.65</v>
      </c>
      <c r="IL19">
        <v>3.14</v>
      </c>
      <c r="IM19">
        <v>16.399999999999999</v>
      </c>
      <c r="IN19">
        <v>91.3</v>
      </c>
      <c r="IO19">
        <v>6.45</v>
      </c>
      <c r="IP19">
        <v>1.91</v>
      </c>
      <c r="IQ19">
        <v>79.099999999999994</v>
      </c>
      <c r="IR19">
        <v>2.81</v>
      </c>
      <c r="IS19">
        <v>51.2</v>
      </c>
      <c r="IT19">
        <v>4.92</v>
      </c>
      <c r="IU19">
        <v>41.1</v>
      </c>
      <c r="IV19">
        <v>0.38</v>
      </c>
      <c r="IW19">
        <v>11.8</v>
      </c>
      <c r="IX19">
        <v>44.6</v>
      </c>
      <c r="IY19">
        <v>69</v>
      </c>
      <c r="IZ19">
        <v>0.44</v>
      </c>
      <c r="JA19">
        <v>2.29</v>
      </c>
      <c r="JB19">
        <v>3.92</v>
      </c>
      <c r="JC19">
        <v>17.600000000000001</v>
      </c>
      <c r="JD19">
        <v>364</v>
      </c>
      <c r="JE19">
        <v>357</v>
      </c>
      <c r="JF19">
        <v>448</v>
      </c>
      <c r="JG19">
        <v>1066</v>
      </c>
      <c r="JH19">
        <v>514</v>
      </c>
      <c r="JI19">
        <v>-23.2</v>
      </c>
    </row>
    <row r="20" spans="1:269" ht="15.75" x14ac:dyDescent="0.5">
      <c r="A20" t="s">
        <v>55</v>
      </c>
      <c r="B20" s="43">
        <v>204</v>
      </c>
      <c r="C20" s="10">
        <v>43</v>
      </c>
      <c r="E20" s="3" t="s">
        <v>71</v>
      </c>
      <c r="H20" s="5"/>
      <c r="I20" s="5"/>
      <c r="R20" s="5"/>
      <c r="AD20" s="5"/>
      <c r="DP20" s="5"/>
      <c r="DQ20" s="5"/>
      <c r="DR20" s="23"/>
      <c r="DS20" s="23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GV20">
        <v>43</v>
      </c>
      <c r="GW20" t="s">
        <v>8</v>
      </c>
      <c r="GX20">
        <v>15.4</v>
      </c>
      <c r="GY20">
        <v>1.26</v>
      </c>
      <c r="GZ20">
        <v>8.8999999999999996E-2</v>
      </c>
      <c r="HA20">
        <v>55.2</v>
      </c>
      <c r="HB20">
        <v>43.4</v>
      </c>
      <c r="HC20">
        <v>60.6</v>
      </c>
      <c r="HD20">
        <v>2.3E-2</v>
      </c>
      <c r="HE20">
        <v>1.44</v>
      </c>
      <c r="HF20">
        <v>1.4</v>
      </c>
      <c r="HG20">
        <v>58.3</v>
      </c>
      <c r="HH20">
        <v>28.6</v>
      </c>
      <c r="HI20">
        <v>5.67</v>
      </c>
      <c r="HJ20">
        <v>51.4</v>
      </c>
      <c r="HK20">
        <v>37.799999999999997</v>
      </c>
      <c r="HL20">
        <v>2.99</v>
      </c>
      <c r="HM20">
        <v>27.3</v>
      </c>
      <c r="HN20">
        <v>55.5</v>
      </c>
      <c r="HO20">
        <v>6.12</v>
      </c>
      <c r="HP20">
        <v>30</v>
      </c>
      <c r="HQ20">
        <v>8.3000000000000007</v>
      </c>
      <c r="HR20">
        <v>52.9</v>
      </c>
      <c r="HS20">
        <v>13.2</v>
      </c>
      <c r="HT20">
        <v>43.8</v>
      </c>
      <c r="HU20">
        <v>4.54</v>
      </c>
      <c r="HV20">
        <v>39.299999999999997</v>
      </c>
      <c r="HW20">
        <v>12.3</v>
      </c>
      <c r="HX20">
        <v>28.6</v>
      </c>
      <c r="HY20">
        <v>3.34</v>
      </c>
      <c r="HZ20">
        <v>4.66</v>
      </c>
      <c r="IA20">
        <v>6.41</v>
      </c>
      <c r="IB20">
        <v>85.6</v>
      </c>
      <c r="IC20">
        <v>21.5</v>
      </c>
      <c r="ID20">
        <v>1.88</v>
      </c>
      <c r="IE20">
        <v>47.6</v>
      </c>
      <c r="IF20">
        <v>48.4</v>
      </c>
      <c r="IG20">
        <v>1.05</v>
      </c>
      <c r="IH20">
        <v>20.3</v>
      </c>
      <c r="II20">
        <v>22.7</v>
      </c>
      <c r="IJ20">
        <v>3.99</v>
      </c>
      <c r="IK20">
        <v>6</v>
      </c>
      <c r="IL20">
        <v>8.74</v>
      </c>
      <c r="IM20">
        <v>8.74</v>
      </c>
      <c r="IN20">
        <v>79.8</v>
      </c>
      <c r="IO20">
        <v>1.02</v>
      </c>
      <c r="IP20">
        <v>9.3000000000000007</v>
      </c>
      <c r="IQ20">
        <v>70</v>
      </c>
      <c r="IR20">
        <v>12.8</v>
      </c>
      <c r="IS20">
        <v>37</v>
      </c>
      <c r="IT20">
        <v>3.61</v>
      </c>
      <c r="IU20">
        <v>47.3</v>
      </c>
      <c r="IV20">
        <v>0.17</v>
      </c>
      <c r="IW20">
        <v>4.93</v>
      </c>
      <c r="IX20">
        <v>59.6</v>
      </c>
      <c r="IY20">
        <v>79.8</v>
      </c>
      <c r="IZ20">
        <v>0.14000000000000001</v>
      </c>
      <c r="JA20">
        <v>1.36</v>
      </c>
      <c r="JB20">
        <v>4.5599999999999996</v>
      </c>
      <c r="JC20">
        <v>-102</v>
      </c>
      <c r="JD20">
        <v>305</v>
      </c>
      <c r="JE20">
        <v>526</v>
      </c>
      <c r="JF20">
        <v>533</v>
      </c>
      <c r="JG20">
        <v>763</v>
      </c>
      <c r="JH20">
        <v>110</v>
      </c>
      <c r="JI20">
        <v>48.3</v>
      </c>
    </row>
    <row r="21" spans="1:269" ht="15.75" x14ac:dyDescent="0.5">
      <c r="A21" t="s">
        <v>55</v>
      </c>
      <c r="B21" s="43">
        <v>205</v>
      </c>
      <c r="C21" s="10">
        <v>34</v>
      </c>
      <c r="E21" s="3" t="s">
        <v>71</v>
      </c>
      <c r="H21" s="5"/>
      <c r="I21" s="5"/>
      <c r="R21" s="5"/>
      <c r="AD21" s="5"/>
      <c r="DP21" s="5"/>
      <c r="DQ21" s="5"/>
      <c r="DR21" s="23"/>
      <c r="DS21" s="23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GV21">
        <v>34</v>
      </c>
      <c r="GW21" s="3" t="s">
        <v>9</v>
      </c>
      <c r="GX21" s="3">
        <v>7.19</v>
      </c>
      <c r="GY21" s="3">
        <v>12.2</v>
      </c>
      <c r="GZ21" s="3">
        <v>0.16</v>
      </c>
      <c r="HA21" s="3">
        <v>51.6</v>
      </c>
      <c r="HB21" s="3">
        <v>35.9</v>
      </c>
      <c r="HC21" s="3">
        <v>67.7</v>
      </c>
      <c r="HD21" s="3">
        <v>4.1000000000000002E-2</v>
      </c>
      <c r="HE21" s="3">
        <v>11.2</v>
      </c>
      <c r="HF21" s="3">
        <v>3.8</v>
      </c>
      <c r="HG21" s="3">
        <v>56.2</v>
      </c>
      <c r="HH21" s="3">
        <v>35.6</v>
      </c>
      <c r="HI21" s="3">
        <v>4.82</v>
      </c>
      <c r="HJ21" s="3">
        <v>64.7</v>
      </c>
      <c r="HK21" s="3">
        <v>14.1</v>
      </c>
      <c r="HL21" s="3">
        <v>12.3</v>
      </c>
      <c r="HM21" s="3">
        <v>22.2</v>
      </c>
      <c r="HN21" s="3">
        <v>32.200000000000003</v>
      </c>
      <c r="HO21" s="3">
        <v>19.899999999999999</v>
      </c>
      <c r="HP21" s="3">
        <v>35.1</v>
      </c>
      <c r="HQ21" s="3">
        <v>12.8</v>
      </c>
      <c r="HR21" s="3">
        <v>66.2</v>
      </c>
      <c r="HS21" s="3">
        <v>6.43</v>
      </c>
      <c r="HT21" s="3">
        <v>33.299999999999997</v>
      </c>
      <c r="HU21" s="3">
        <v>8.18</v>
      </c>
      <c r="HV21" s="3">
        <v>36.6</v>
      </c>
      <c r="HW21" s="3">
        <v>21.8</v>
      </c>
      <c r="HX21" s="3">
        <v>19.600000000000001</v>
      </c>
      <c r="HY21" s="3">
        <v>2.37</v>
      </c>
      <c r="HZ21" s="3">
        <v>5.0599999999999996</v>
      </c>
      <c r="IA21" s="3">
        <v>10.3</v>
      </c>
      <c r="IB21" s="3">
        <v>80</v>
      </c>
      <c r="IC21" s="3">
        <v>20.5</v>
      </c>
      <c r="ID21" s="3">
        <v>2.38</v>
      </c>
      <c r="IE21" s="3">
        <v>17.100000000000001</v>
      </c>
      <c r="IF21" s="3">
        <v>61.7</v>
      </c>
      <c r="IG21" s="3">
        <v>14.8</v>
      </c>
      <c r="IH21" s="3">
        <v>16.7</v>
      </c>
      <c r="II21" s="3">
        <v>30</v>
      </c>
      <c r="IJ21" s="3">
        <v>0.35</v>
      </c>
      <c r="IK21" s="3">
        <v>0.78</v>
      </c>
      <c r="IL21" s="3">
        <v>1.34</v>
      </c>
      <c r="IM21" s="3">
        <v>1.31</v>
      </c>
      <c r="IN21" s="3">
        <v>70.900000000000006</v>
      </c>
      <c r="IO21" s="3">
        <v>28</v>
      </c>
      <c r="IP21" s="3">
        <v>1.1100000000000001</v>
      </c>
      <c r="IQ21" s="3">
        <v>76.400000000000006</v>
      </c>
      <c r="IR21" s="3">
        <v>22.1</v>
      </c>
      <c r="IS21" s="3">
        <v>45.7</v>
      </c>
      <c r="IT21" s="3">
        <v>4.01</v>
      </c>
      <c r="IU21" s="3">
        <v>48.7</v>
      </c>
      <c r="IV21" s="3">
        <v>0.39</v>
      </c>
      <c r="IW21" s="3">
        <v>7.31</v>
      </c>
      <c r="IX21" s="3">
        <v>36.9</v>
      </c>
      <c r="IY21" s="3">
        <v>44.8</v>
      </c>
      <c r="IZ21" s="3">
        <v>1.1599999999999999</v>
      </c>
      <c r="JA21" s="3">
        <v>3.99</v>
      </c>
      <c r="JB21" s="3">
        <v>6.19</v>
      </c>
      <c r="JC21" s="3">
        <v>-88.5</v>
      </c>
      <c r="JD21" s="3">
        <v>139</v>
      </c>
      <c r="JE21" s="3">
        <v>212</v>
      </c>
      <c r="JF21" s="3">
        <v>261</v>
      </c>
      <c r="JG21" s="3">
        <v>620</v>
      </c>
      <c r="JH21" s="3">
        <v>254</v>
      </c>
      <c r="JI21" s="3">
        <v>-31.6</v>
      </c>
    </row>
    <row r="22" spans="1:269" ht="15.75" x14ac:dyDescent="0.5">
      <c r="A22" t="s">
        <v>55</v>
      </c>
      <c r="B22" s="43">
        <v>206</v>
      </c>
      <c r="C22" s="10">
        <v>33</v>
      </c>
      <c r="E22" s="3" t="s">
        <v>71</v>
      </c>
      <c r="H22" s="5"/>
      <c r="I22" s="5"/>
      <c r="R22" s="5"/>
      <c r="AD22" s="5"/>
      <c r="DP22" s="5"/>
      <c r="DQ22" s="5"/>
      <c r="DR22" s="23"/>
      <c r="DS22" s="23"/>
      <c r="DT22" s="5"/>
      <c r="DU22" s="5"/>
      <c r="DV22" s="5"/>
      <c r="DW22" s="5"/>
      <c r="DX22" s="5"/>
      <c r="DY22" s="5"/>
      <c r="DZ22" s="5"/>
      <c r="EA22" s="5"/>
      <c r="EB22" s="5"/>
      <c r="EC22" s="23"/>
      <c r="ED22" s="23"/>
      <c r="EE22" s="23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GV22">
        <v>33</v>
      </c>
      <c r="GW22" t="s">
        <v>10</v>
      </c>
      <c r="GX22">
        <v>5.63</v>
      </c>
      <c r="GY22">
        <v>8.27</v>
      </c>
      <c r="GZ22">
        <v>9.0999999999999998E-2</v>
      </c>
      <c r="HA22">
        <v>66</v>
      </c>
      <c r="HB22">
        <v>25.6</v>
      </c>
      <c r="HC22">
        <v>78.599999999999994</v>
      </c>
      <c r="HD22">
        <v>5.2999999999999999E-2</v>
      </c>
      <c r="HE22">
        <v>5.65</v>
      </c>
      <c r="HF22">
        <v>2.5299999999999998</v>
      </c>
      <c r="HG22">
        <v>71.5</v>
      </c>
      <c r="HH22">
        <v>51.2</v>
      </c>
      <c r="HI22">
        <v>6.79</v>
      </c>
      <c r="HJ22">
        <v>51.2</v>
      </c>
      <c r="HK22">
        <v>24.3</v>
      </c>
      <c r="HL22">
        <v>17.2</v>
      </c>
      <c r="HM22">
        <v>34.4</v>
      </c>
      <c r="HN22">
        <v>36.9</v>
      </c>
      <c r="HO22">
        <v>10.7</v>
      </c>
      <c r="HP22">
        <v>43.3</v>
      </c>
      <c r="HQ22">
        <v>9.1300000000000008</v>
      </c>
      <c r="HR22">
        <v>50.5</v>
      </c>
      <c r="HS22">
        <v>6.59</v>
      </c>
      <c r="HT22">
        <v>40.299999999999997</v>
      </c>
      <c r="HU22">
        <v>2.0299999999999998</v>
      </c>
      <c r="HV22">
        <v>53.5</v>
      </c>
      <c r="HW22">
        <v>4.2300000000000004</v>
      </c>
      <c r="HX22">
        <v>19.3</v>
      </c>
      <c r="HY22">
        <v>4.84</v>
      </c>
      <c r="HZ22">
        <v>25.7</v>
      </c>
      <c r="IA22">
        <v>31.7</v>
      </c>
      <c r="IB22">
        <v>37.700000000000003</v>
      </c>
      <c r="IC22">
        <v>11</v>
      </c>
      <c r="ID22">
        <v>13.6</v>
      </c>
      <c r="IE22">
        <v>15.7</v>
      </c>
      <c r="IF22">
        <v>57.3</v>
      </c>
      <c r="IG22">
        <v>7.07</v>
      </c>
      <c r="IH22">
        <v>19.8</v>
      </c>
      <c r="II22">
        <v>15.7</v>
      </c>
      <c r="IJ22">
        <v>1.51</v>
      </c>
      <c r="IK22">
        <v>0.69</v>
      </c>
      <c r="IL22">
        <v>22.6</v>
      </c>
      <c r="IM22">
        <v>2.2400000000000002</v>
      </c>
      <c r="IN22">
        <v>85.3</v>
      </c>
      <c r="IO22">
        <v>12.5</v>
      </c>
      <c r="IP22">
        <v>2.0499999999999998</v>
      </c>
      <c r="IQ22">
        <v>65.400000000000006</v>
      </c>
      <c r="IR22">
        <v>10.4</v>
      </c>
      <c r="IS22">
        <v>45.9</v>
      </c>
      <c r="IT22">
        <v>9.43</v>
      </c>
      <c r="IU22">
        <v>38.200000000000003</v>
      </c>
      <c r="IV22">
        <v>0.82</v>
      </c>
      <c r="IW22">
        <v>7.45</v>
      </c>
      <c r="IX22">
        <v>63.3</v>
      </c>
      <c r="IY22">
        <v>84.1</v>
      </c>
      <c r="IZ22">
        <v>0.14000000000000001</v>
      </c>
      <c r="JA22">
        <v>1.71</v>
      </c>
      <c r="JB22">
        <v>3.88</v>
      </c>
      <c r="JC22">
        <v>14.1</v>
      </c>
      <c r="JD22">
        <v>297</v>
      </c>
      <c r="JE22">
        <v>512</v>
      </c>
      <c r="JF22">
        <v>349</v>
      </c>
      <c r="JG22">
        <v>438</v>
      </c>
      <c r="JH22">
        <v>106</v>
      </c>
      <c r="JI22">
        <v>-12.8</v>
      </c>
    </row>
    <row r="23" spans="1:269" ht="15.75" x14ac:dyDescent="0.5">
      <c r="A23" t="s">
        <v>55</v>
      </c>
      <c r="B23" s="43">
        <v>207</v>
      </c>
      <c r="C23" s="10">
        <v>53</v>
      </c>
      <c r="E23" s="3" t="s">
        <v>71</v>
      </c>
      <c r="H23" s="5"/>
      <c r="I23" s="5"/>
      <c r="R23" s="5"/>
      <c r="AD23" s="5"/>
      <c r="DP23" s="5"/>
      <c r="DQ23" s="5"/>
      <c r="DR23" s="23"/>
      <c r="DS23" s="23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GV23">
        <v>53</v>
      </c>
      <c r="GW23" s="3" t="s">
        <v>11</v>
      </c>
      <c r="GX23" s="3">
        <v>9.4700000000000006</v>
      </c>
      <c r="GY23" s="3">
        <v>7.95</v>
      </c>
      <c r="GZ23" s="3">
        <v>1.1100000000000001</v>
      </c>
      <c r="HA23" s="3">
        <v>33.9</v>
      </c>
      <c r="HB23" s="3">
        <v>56.8</v>
      </c>
      <c r="HC23" s="3">
        <v>76.599999999999994</v>
      </c>
      <c r="HD23" s="3">
        <v>5.3999999999999999E-2</v>
      </c>
      <c r="HE23" s="3">
        <v>5.92</v>
      </c>
      <c r="HF23" s="3">
        <v>12.4</v>
      </c>
      <c r="HG23" s="3">
        <v>59.6</v>
      </c>
      <c r="HH23" s="3">
        <v>33.799999999999997</v>
      </c>
      <c r="HI23" s="3">
        <v>4.4000000000000004</v>
      </c>
      <c r="HJ23" s="3">
        <v>41.4</v>
      </c>
      <c r="HK23" s="3">
        <v>22.4</v>
      </c>
      <c r="HL23" s="3">
        <v>26.4</v>
      </c>
      <c r="HM23" s="3">
        <v>43.4</v>
      </c>
      <c r="HN23" s="3">
        <v>19.8</v>
      </c>
      <c r="HO23" s="3">
        <v>24.7</v>
      </c>
      <c r="HP23" s="3">
        <v>42.5</v>
      </c>
      <c r="HQ23" s="3">
        <v>12.9</v>
      </c>
      <c r="HR23" s="3">
        <v>40.1</v>
      </c>
      <c r="HS23" s="3">
        <v>9.26</v>
      </c>
      <c r="HT23" s="3">
        <v>27.5</v>
      </c>
      <c r="HU23" s="3">
        <v>10.1</v>
      </c>
      <c r="HV23" s="3">
        <v>37</v>
      </c>
      <c r="HW23" s="3">
        <v>25.5</v>
      </c>
      <c r="HX23" s="3">
        <v>24.4</v>
      </c>
      <c r="HY23" s="3">
        <v>6.92</v>
      </c>
      <c r="HZ23" s="3">
        <v>9.9499999999999993</v>
      </c>
      <c r="IA23" s="3">
        <v>61.2</v>
      </c>
      <c r="IB23" s="3">
        <v>16.899999999999999</v>
      </c>
      <c r="IC23" s="3">
        <v>11.1</v>
      </c>
      <c r="ID23" s="3">
        <v>1.95</v>
      </c>
      <c r="IE23" s="3">
        <v>30.8</v>
      </c>
      <c r="IF23" s="3">
        <v>55.2</v>
      </c>
      <c r="IG23" s="3">
        <v>6.92</v>
      </c>
      <c r="IH23" s="3">
        <v>20.2</v>
      </c>
      <c r="II23" s="3">
        <v>16.5</v>
      </c>
      <c r="IJ23" s="3">
        <v>0.76</v>
      </c>
      <c r="IK23" s="3">
        <v>3</v>
      </c>
      <c r="IL23" s="3">
        <v>1.51</v>
      </c>
      <c r="IM23" s="3">
        <v>6.36</v>
      </c>
      <c r="IN23" s="3">
        <v>72</v>
      </c>
      <c r="IO23" s="3">
        <v>23.9</v>
      </c>
      <c r="IP23" s="3">
        <v>3.83</v>
      </c>
      <c r="IQ23" s="3">
        <v>74.2</v>
      </c>
      <c r="IR23" s="3">
        <v>18.600000000000001</v>
      </c>
      <c r="IS23" s="3">
        <v>55</v>
      </c>
      <c r="IT23" s="3">
        <v>5.93</v>
      </c>
      <c r="IU23" s="3">
        <v>37.1</v>
      </c>
      <c r="IV23" s="3">
        <v>2.48</v>
      </c>
      <c r="IW23" s="3">
        <v>5.04</v>
      </c>
      <c r="IX23" s="3">
        <v>16.8</v>
      </c>
      <c r="IY23" s="3">
        <v>62.8</v>
      </c>
      <c r="IZ23" s="3">
        <v>1.62</v>
      </c>
      <c r="JA23" s="3">
        <v>3.84</v>
      </c>
      <c r="JB23" s="3">
        <v>11.1</v>
      </c>
      <c r="JC23" s="3">
        <v>-68</v>
      </c>
      <c r="JD23" s="3">
        <v>106</v>
      </c>
      <c r="JE23" s="3">
        <v>184</v>
      </c>
      <c r="JF23" s="3">
        <v>202</v>
      </c>
      <c r="JG23" s="3">
        <v>256</v>
      </c>
      <c r="JH23" s="3">
        <v>77.2</v>
      </c>
      <c r="JI23" s="3">
        <v>25.1</v>
      </c>
    </row>
    <row r="24" spans="1:269" ht="15.75" x14ac:dyDescent="0.5">
      <c r="A24" t="s">
        <v>55</v>
      </c>
      <c r="B24" s="43">
        <v>208</v>
      </c>
      <c r="C24" s="10">
        <v>23</v>
      </c>
      <c r="E24" s="3" t="s">
        <v>71</v>
      </c>
      <c r="H24" s="5"/>
      <c r="I24" s="5"/>
      <c r="R24" s="5"/>
      <c r="AD24" s="5"/>
      <c r="DP24" s="5"/>
      <c r="DQ24" s="5"/>
      <c r="DR24" s="23"/>
      <c r="DS24" s="23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GV24">
        <v>23</v>
      </c>
      <c r="GW24" t="s">
        <v>12</v>
      </c>
      <c r="GX24">
        <v>7.34</v>
      </c>
      <c r="GY24">
        <v>9.01</v>
      </c>
      <c r="GZ24">
        <v>0.25</v>
      </c>
      <c r="HA24">
        <v>57.6</v>
      </c>
      <c r="HB24">
        <v>33.1</v>
      </c>
      <c r="HC24">
        <v>74.8</v>
      </c>
      <c r="HD24">
        <v>8.5999999999999993E-2</v>
      </c>
      <c r="HE24">
        <v>6.07</v>
      </c>
      <c r="HF24">
        <v>2.5499999999999998</v>
      </c>
      <c r="HG24">
        <v>67.599999999999994</v>
      </c>
      <c r="HH24">
        <v>40.200000000000003</v>
      </c>
      <c r="HI24">
        <v>5.65</v>
      </c>
      <c r="HJ24">
        <v>48.8</v>
      </c>
      <c r="HK24">
        <v>22.4</v>
      </c>
      <c r="HL24">
        <v>21.3</v>
      </c>
      <c r="HM24">
        <v>39.799999999999997</v>
      </c>
      <c r="HN24">
        <v>28.8</v>
      </c>
      <c r="HO24">
        <v>12.5</v>
      </c>
      <c r="HP24">
        <v>53.5</v>
      </c>
      <c r="HQ24">
        <v>5.24</v>
      </c>
      <c r="HR24">
        <v>46.5</v>
      </c>
      <c r="HS24">
        <v>4.8099999999999996</v>
      </c>
      <c r="HT24">
        <v>37.9</v>
      </c>
      <c r="HU24">
        <v>1.67</v>
      </c>
      <c r="HV24">
        <v>56.4</v>
      </c>
      <c r="HW24">
        <v>4.05</v>
      </c>
      <c r="HX24">
        <v>24.2</v>
      </c>
      <c r="HY24">
        <v>4.3</v>
      </c>
      <c r="HZ24">
        <v>14.6</v>
      </c>
      <c r="IA24">
        <v>49.2</v>
      </c>
      <c r="IB24">
        <v>31.7</v>
      </c>
      <c r="IC24">
        <v>11.6</v>
      </c>
      <c r="ID24">
        <v>11.2</v>
      </c>
      <c r="IE24">
        <v>39.700000000000003</v>
      </c>
      <c r="IF24">
        <v>34.9</v>
      </c>
      <c r="IG24">
        <v>4.8600000000000003</v>
      </c>
      <c r="IH24">
        <v>4.58</v>
      </c>
      <c r="II24">
        <v>38.9</v>
      </c>
      <c r="IJ24">
        <v>0.67</v>
      </c>
      <c r="IK24">
        <v>4.9400000000000004</v>
      </c>
      <c r="IL24">
        <v>4.7300000000000004</v>
      </c>
      <c r="IM24">
        <v>7.52</v>
      </c>
      <c r="IN24">
        <v>81.5</v>
      </c>
      <c r="IO24">
        <v>12.2</v>
      </c>
      <c r="IP24">
        <v>5.99</v>
      </c>
      <c r="IQ24">
        <v>81.400000000000006</v>
      </c>
      <c r="IR24">
        <v>6.04</v>
      </c>
      <c r="IS24">
        <v>48.5</v>
      </c>
      <c r="IT24">
        <v>2.3199999999999998</v>
      </c>
      <c r="IU24">
        <v>44.6</v>
      </c>
      <c r="IV24">
        <v>2.71</v>
      </c>
      <c r="IW24">
        <v>16.600000000000001</v>
      </c>
      <c r="IX24">
        <v>57.8</v>
      </c>
      <c r="IY24">
        <v>79.400000000000006</v>
      </c>
      <c r="IZ24">
        <v>0.24</v>
      </c>
      <c r="JA24">
        <v>1.84</v>
      </c>
      <c r="JB24">
        <v>7.55</v>
      </c>
      <c r="JC24">
        <v>57.5</v>
      </c>
      <c r="JD24">
        <v>325</v>
      </c>
      <c r="JE24">
        <v>426</v>
      </c>
      <c r="JF24">
        <v>400</v>
      </c>
      <c r="JG24">
        <v>384</v>
      </c>
      <c r="JH24">
        <v>74.3</v>
      </c>
      <c r="JI24">
        <v>26.9</v>
      </c>
    </row>
    <row r="25" spans="1:269" ht="15.75" x14ac:dyDescent="0.5">
      <c r="A25" t="s">
        <v>55</v>
      </c>
      <c r="B25" s="43">
        <v>209</v>
      </c>
      <c r="C25" s="10">
        <v>46</v>
      </c>
      <c r="E25" s="3" t="s">
        <v>71</v>
      </c>
      <c r="H25" s="5"/>
      <c r="I25" s="5"/>
      <c r="R25" s="5"/>
      <c r="AD25" s="5"/>
      <c r="DP25" s="5"/>
      <c r="DQ25" s="5"/>
      <c r="DR25" s="23"/>
      <c r="DS25" s="23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GV25">
        <v>46</v>
      </c>
      <c r="GW25" t="s">
        <v>13</v>
      </c>
      <c r="GX25">
        <v>19.3</v>
      </c>
      <c r="GY25">
        <v>3.27</v>
      </c>
      <c r="GZ25">
        <v>1.53</v>
      </c>
      <c r="HA25">
        <v>50.7</v>
      </c>
      <c r="HB25">
        <v>44.5</v>
      </c>
      <c r="HC25">
        <v>69.7</v>
      </c>
      <c r="HD25" s="20">
        <v>7.8300000000000002E-3</v>
      </c>
      <c r="HE25">
        <v>4.8</v>
      </c>
      <c r="HF25">
        <v>1.98</v>
      </c>
      <c r="HG25">
        <v>64.099999999999994</v>
      </c>
      <c r="HH25">
        <v>48.8</v>
      </c>
      <c r="HI25">
        <v>5.61</v>
      </c>
      <c r="HJ25">
        <v>72.599999999999994</v>
      </c>
      <c r="HK25">
        <v>15.5</v>
      </c>
      <c r="HL25">
        <v>4.8600000000000003</v>
      </c>
      <c r="HM25">
        <v>17.399999999999999</v>
      </c>
      <c r="HN25">
        <v>26.6</v>
      </c>
      <c r="HO25">
        <v>20.399999999999999</v>
      </c>
      <c r="HP25">
        <v>39.6</v>
      </c>
      <c r="HQ25">
        <v>13.4</v>
      </c>
      <c r="HR25">
        <v>73.099999999999994</v>
      </c>
      <c r="HS25">
        <v>3.27</v>
      </c>
      <c r="HT25">
        <v>30.2</v>
      </c>
      <c r="HU25">
        <v>8.7100000000000009</v>
      </c>
      <c r="HV25">
        <v>40.5</v>
      </c>
      <c r="HW25">
        <v>20.6</v>
      </c>
      <c r="HX25">
        <v>14.6</v>
      </c>
      <c r="HY25">
        <v>5.92</v>
      </c>
      <c r="HZ25">
        <v>8.68</v>
      </c>
      <c r="IA25">
        <v>16.100000000000001</v>
      </c>
      <c r="IB25">
        <v>69.2</v>
      </c>
      <c r="IC25">
        <v>10.4</v>
      </c>
      <c r="ID25">
        <v>1.87</v>
      </c>
      <c r="IE25">
        <v>17.7</v>
      </c>
      <c r="IF25">
        <v>66.7</v>
      </c>
      <c r="IG25">
        <v>7.66</v>
      </c>
      <c r="IH25">
        <v>7.78</v>
      </c>
      <c r="II25">
        <v>14.4</v>
      </c>
      <c r="IJ25">
        <v>0.36</v>
      </c>
      <c r="IK25">
        <v>0.28000000000000003</v>
      </c>
      <c r="IL25">
        <v>1.27</v>
      </c>
      <c r="IM25">
        <v>3.75</v>
      </c>
      <c r="IN25">
        <v>94.5</v>
      </c>
      <c r="IO25">
        <v>5.16</v>
      </c>
      <c r="IP25">
        <v>0.3</v>
      </c>
      <c r="IQ25">
        <v>90.7</v>
      </c>
      <c r="IR25">
        <v>5.2</v>
      </c>
      <c r="IS25">
        <v>63.9</v>
      </c>
      <c r="IT25">
        <v>7.9</v>
      </c>
      <c r="IU25">
        <v>23</v>
      </c>
      <c r="IV25">
        <v>0.64</v>
      </c>
      <c r="IW25">
        <v>10.6</v>
      </c>
      <c r="IX25">
        <v>55.3</v>
      </c>
      <c r="IY25">
        <v>52.5</v>
      </c>
      <c r="IZ25">
        <v>0.25</v>
      </c>
      <c r="JA25">
        <v>1.68</v>
      </c>
      <c r="JB25">
        <v>6.2</v>
      </c>
      <c r="JC25">
        <v>30</v>
      </c>
      <c r="JD25">
        <v>429</v>
      </c>
      <c r="JE25">
        <v>582</v>
      </c>
      <c r="JF25">
        <v>593</v>
      </c>
      <c r="JG25">
        <v>936</v>
      </c>
      <c r="JH25">
        <v>500</v>
      </c>
      <c r="JI25">
        <v>23.6</v>
      </c>
    </row>
    <row r="26" spans="1:269" ht="15.75" x14ac:dyDescent="0.5">
      <c r="A26" t="s">
        <v>55</v>
      </c>
      <c r="B26" s="43">
        <v>210</v>
      </c>
      <c r="C26" s="10">
        <v>50</v>
      </c>
      <c r="E26" s="3" t="s">
        <v>71</v>
      </c>
      <c r="H26" s="5"/>
      <c r="I26" s="5"/>
      <c r="R26" s="5"/>
      <c r="AD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GV26">
        <v>50</v>
      </c>
      <c r="GW26" s="3" t="s">
        <v>14</v>
      </c>
      <c r="GX26" s="3">
        <v>6.05</v>
      </c>
      <c r="GY26" s="3">
        <v>8.4499999999999993</v>
      </c>
      <c r="GZ26" s="3">
        <v>7.9000000000000001E-2</v>
      </c>
      <c r="HA26" s="3">
        <v>46.5</v>
      </c>
      <c r="HB26" s="3">
        <v>44.9</v>
      </c>
      <c r="HC26" s="3">
        <v>79.8</v>
      </c>
      <c r="HD26" s="3">
        <v>2.9000000000000001E-2</v>
      </c>
      <c r="HE26" s="3">
        <v>2.93</v>
      </c>
      <c r="HF26" s="3">
        <v>1.78</v>
      </c>
      <c r="HG26" s="3">
        <v>75.599999999999994</v>
      </c>
      <c r="HH26" s="3">
        <v>54.3</v>
      </c>
      <c r="HI26" s="3">
        <v>1.73</v>
      </c>
      <c r="HJ26" s="3">
        <v>59.9</v>
      </c>
      <c r="HK26" s="3">
        <v>27.2</v>
      </c>
      <c r="HL26" s="3">
        <v>7.17</v>
      </c>
      <c r="HM26" s="3">
        <v>31.8</v>
      </c>
      <c r="HN26" s="3">
        <v>60.3</v>
      </c>
      <c r="HO26" s="3">
        <v>4.47</v>
      </c>
      <c r="HP26" s="3">
        <v>28.9</v>
      </c>
      <c r="HQ26" s="3">
        <v>6.32</v>
      </c>
      <c r="HR26" s="3">
        <v>62.1</v>
      </c>
      <c r="HS26" s="3">
        <v>5.9</v>
      </c>
      <c r="HT26" s="3">
        <v>53.1</v>
      </c>
      <c r="HU26" s="3">
        <v>1.18</v>
      </c>
      <c r="HV26" s="3">
        <v>39</v>
      </c>
      <c r="HW26" s="3">
        <v>6.67</v>
      </c>
      <c r="HX26" s="3">
        <v>20.5</v>
      </c>
      <c r="HY26" s="3">
        <v>7.9</v>
      </c>
      <c r="HZ26" s="3">
        <v>5.04</v>
      </c>
      <c r="IA26" s="3">
        <v>47.1</v>
      </c>
      <c r="IB26" s="3">
        <v>34.5</v>
      </c>
      <c r="IC26" s="3">
        <v>9.6999999999999993</v>
      </c>
      <c r="ID26" s="3">
        <v>3.83</v>
      </c>
      <c r="IE26" s="3">
        <v>52.3</v>
      </c>
      <c r="IF26" s="3">
        <v>36.200000000000003</v>
      </c>
      <c r="IG26" s="3">
        <v>1.38</v>
      </c>
      <c r="IH26" s="3">
        <v>11.5</v>
      </c>
      <c r="II26" s="3">
        <v>7.76</v>
      </c>
      <c r="IJ26" s="3">
        <v>0.82</v>
      </c>
      <c r="IK26" s="3">
        <v>0.93</v>
      </c>
      <c r="IL26" s="3">
        <v>3.9</v>
      </c>
      <c r="IM26" s="3">
        <v>10.4</v>
      </c>
      <c r="IN26" s="3">
        <v>59.3</v>
      </c>
      <c r="IO26" s="3">
        <v>38.4</v>
      </c>
      <c r="IP26" s="3">
        <v>2.1</v>
      </c>
      <c r="IQ26" s="3">
        <v>65.5</v>
      </c>
      <c r="IR26" s="3">
        <v>21.6</v>
      </c>
      <c r="IS26" s="3">
        <v>71.400000000000006</v>
      </c>
      <c r="IT26" s="3">
        <v>4.04</v>
      </c>
      <c r="IU26" s="3">
        <v>20.399999999999999</v>
      </c>
      <c r="IV26" s="3">
        <v>2.54</v>
      </c>
      <c r="IW26" s="3">
        <v>8.81</v>
      </c>
      <c r="IX26" s="3">
        <v>36.9</v>
      </c>
      <c r="IY26" s="3">
        <v>60.2</v>
      </c>
      <c r="IZ26" s="3">
        <v>1.39</v>
      </c>
      <c r="JA26" s="3">
        <v>1.54</v>
      </c>
      <c r="JB26" s="3">
        <v>4.92</v>
      </c>
      <c r="JC26" s="3">
        <v>-85</v>
      </c>
      <c r="JD26" s="3">
        <v>166</v>
      </c>
      <c r="JE26" s="3">
        <v>164</v>
      </c>
      <c r="JF26" s="3">
        <v>275</v>
      </c>
      <c r="JG26" s="3">
        <v>466</v>
      </c>
      <c r="JH26" s="3">
        <v>162</v>
      </c>
      <c r="JI26" s="3">
        <v>-2.34</v>
      </c>
    </row>
    <row r="27" spans="1:269" ht="15.75" x14ac:dyDescent="0.5">
      <c r="A27" t="s">
        <v>55</v>
      </c>
      <c r="B27" s="43">
        <v>211</v>
      </c>
      <c r="C27" s="10">
        <v>39</v>
      </c>
      <c r="E27" s="3" t="s">
        <v>71</v>
      </c>
      <c r="H27" s="5"/>
      <c r="I27" s="5"/>
      <c r="R27" s="5"/>
      <c r="AD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GV27">
        <v>39</v>
      </c>
      <c r="GW27" s="3" t="s">
        <v>15</v>
      </c>
      <c r="GX27" s="3">
        <v>4.87</v>
      </c>
      <c r="GY27" s="3">
        <v>12.2</v>
      </c>
      <c r="GZ27" s="3">
        <v>0.22</v>
      </c>
      <c r="HA27" s="3">
        <v>45.4</v>
      </c>
      <c r="HB27" s="3">
        <v>42</v>
      </c>
      <c r="HC27" s="3">
        <v>71.7</v>
      </c>
      <c r="HD27" s="3">
        <v>8.4000000000000005E-2</v>
      </c>
      <c r="HE27" s="3">
        <v>1.35</v>
      </c>
      <c r="HF27" s="3">
        <v>1.39</v>
      </c>
      <c r="HG27" s="3">
        <v>69.2</v>
      </c>
      <c r="HH27" s="3">
        <v>59.6</v>
      </c>
      <c r="HI27" s="3">
        <v>3.13</v>
      </c>
      <c r="HJ27" s="3">
        <v>63.5</v>
      </c>
      <c r="HK27" s="3">
        <v>20.399999999999999</v>
      </c>
      <c r="HL27" s="3">
        <v>8.0299999999999994</v>
      </c>
      <c r="HM27" s="3">
        <v>24</v>
      </c>
      <c r="HN27" s="3">
        <v>29.3</v>
      </c>
      <c r="HO27" s="3">
        <v>26.9</v>
      </c>
      <c r="HP27" s="3">
        <v>32.700000000000003</v>
      </c>
      <c r="HQ27" s="3">
        <v>11.1</v>
      </c>
      <c r="HR27" s="3">
        <v>67</v>
      </c>
      <c r="HS27" s="3">
        <v>7.03</v>
      </c>
      <c r="HT27" s="3">
        <v>30.8</v>
      </c>
      <c r="HU27" s="3">
        <v>14.7</v>
      </c>
      <c r="HV27" s="3">
        <v>32.6</v>
      </c>
      <c r="HW27" s="3">
        <v>21.9</v>
      </c>
      <c r="HX27" s="3">
        <v>8.77</v>
      </c>
      <c r="HY27" s="3">
        <v>7.19</v>
      </c>
      <c r="HZ27" s="3">
        <v>11.1</v>
      </c>
      <c r="IA27" s="3">
        <v>10.1</v>
      </c>
      <c r="IB27" s="3">
        <v>68.2</v>
      </c>
      <c r="IC27" s="3">
        <v>20.7</v>
      </c>
      <c r="ID27" s="3">
        <v>2.25</v>
      </c>
      <c r="IE27" s="3">
        <v>6.41</v>
      </c>
      <c r="IF27" s="3">
        <v>79.900000000000006</v>
      </c>
      <c r="IG27" s="3">
        <v>9.66</v>
      </c>
      <c r="IH27" s="3">
        <v>28.7</v>
      </c>
      <c r="II27" s="3">
        <v>27.8</v>
      </c>
      <c r="IJ27" s="3">
        <v>0.41</v>
      </c>
      <c r="IK27" s="3">
        <v>0.71</v>
      </c>
      <c r="IL27" s="3">
        <v>1.65</v>
      </c>
      <c r="IM27" s="3">
        <v>2.14</v>
      </c>
      <c r="IN27" s="3">
        <v>65</v>
      </c>
      <c r="IO27" s="3">
        <v>34.1</v>
      </c>
      <c r="IP27" s="3">
        <v>0.95</v>
      </c>
      <c r="IQ27" s="3">
        <v>74.8</v>
      </c>
      <c r="IR27" s="3">
        <v>23</v>
      </c>
      <c r="IS27" s="3">
        <v>31.4</v>
      </c>
      <c r="IT27" s="3">
        <v>4.47</v>
      </c>
      <c r="IU27" s="3">
        <v>59</v>
      </c>
      <c r="IV27" s="3">
        <v>0.38</v>
      </c>
      <c r="IW27" s="3">
        <v>14.5</v>
      </c>
      <c r="IX27" s="3">
        <v>47.6</v>
      </c>
      <c r="IY27" s="3">
        <v>49.3</v>
      </c>
      <c r="IZ27" s="3">
        <v>1.41</v>
      </c>
      <c r="JA27" s="3">
        <v>6.14</v>
      </c>
      <c r="JB27" s="3">
        <v>12.8</v>
      </c>
      <c r="JC27" s="3">
        <v>-100</v>
      </c>
      <c r="JD27" s="3">
        <v>108</v>
      </c>
      <c r="JE27" s="3">
        <v>115</v>
      </c>
      <c r="JF27" s="3">
        <v>301</v>
      </c>
      <c r="JG27" s="3">
        <v>576</v>
      </c>
      <c r="JH27" s="3">
        <v>280</v>
      </c>
      <c r="JI27" s="3">
        <v>-64.8</v>
      </c>
    </row>
    <row r="28" spans="1:269" ht="15.75" x14ac:dyDescent="0.5">
      <c r="A28" t="s">
        <v>55</v>
      </c>
      <c r="B28" s="43">
        <v>212</v>
      </c>
      <c r="C28" s="10">
        <v>38</v>
      </c>
      <c r="E28" s="3" t="s">
        <v>71</v>
      </c>
      <c r="H28" s="5"/>
      <c r="I28" s="5"/>
      <c r="R28" s="5"/>
      <c r="AD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GV28">
        <v>38</v>
      </c>
      <c r="GW28" s="3" t="s">
        <v>16</v>
      </c>
      <c r="GX28" s="3">
        <v>9.8000000000000007</v>
      </c>
      <c r="GY28" s="3">
        <v>4.5</v>
      </c>
      <c r="GZ28" s="3">
        <v>3.1E-2</v>
      </c>
      <c r="HA28" s="3">
        <v>25.3</v>
      </c>
      <c r="HB28" s="3">
        <v>70.2</v>
      </c>
      <c r="HC28" s="3">
        <v>76.8</v>
      </c>
      <c r="HD28" s="3">
        <v>0.28999999999999998</v>
      </c>
      <c r="HE28" s="3">
        <v>4.1500000000000004</v>
      </c>
      <c r="HF28" s="3">
        <v>5.71</v>
      </c>
      <c r="HG28" s="3">
        <v>66</v>
      </c>
      <c r="HH28" s="3">
        <v>44.9</v>
      </c>
      <c r="HI28" s="3">
        <v>4.03</v>
      </c>
      <c r="HJ28" s="3">
        <v>46.7</v>
      </c>
      <c r="HK28" s="3">
        <v>35.4</v>
      </c>
      <c r="HL28" s="3">
        <v>12.7</v>
      </c>
      <c r="HM28" s="3">
        <v>43.7</v>
      </c>
      <c r="HN28" s="3">
        <v>69.599999999999994</v>
      </c>
      <c r="HO28" s="3">
        <v>3.87</v>
      </c>
      <c r="HP28" s="3">
        <v>20.7</v>
      </c>
      <c r="HQ28" s="3">
        <v>5.86</v>
      </c>
      <c r="HR28" s="3">
        <v>46.1</v>
      </c>
      <c r="HS28" s="3">
        <v>4.82</v>
      </c>
      <c r="HT28" s="3">
        <v>67.599999999999994</v>
      </c>
      <c r="HU28" s="3">
        <v>0.44</v>
      </c>
      <c r="HV28" s="3">
        <v>29.8</v>
      </c>
      <c r="HW28" s="3">
        <v>2.13</v>
      </c>
      <c r="HX28" s="3">
        <v>19.600000000000001</v>
      </c>
      <c r="HY28" s="3">
        <v>6.45</v>
      </c>
      <c r="HZ28" s="3">
        <v>10.4</v>
      </c>
      <c r="IA28" s="3">
        <v>37.1</v>
      </c>
      <c r="IB28" s="3">
        <v>46</v>
      </c>
      <c r="IC28" s="3">
        <v>11.5</v>
      </c>
      <c r="ID28" s="3">
        <v>3.85</v>
      </c>
      <c r="IE28" s="3">
        <v>25.4</v>
      </c>
      <c r="IF28" s="3">
        <v>48.6</v>
      </c>
      <c r="IG28" s="3">
        <v>10.4</v>
      </c>
      <c r="IH28" s="3">
        <v>4.46</v>
      </c>
      <c r="II28" s="3">
        <v>18.2</v>
      </c>
      <c r="IJ28" s="3">
        <v>1.39</v>
      </c>
      <c r="IK28" s="3">
        <v>1.37</v>
      </c>
      <c r="IL28" s="3">
        <v>5.2</v>
      </c>
      <c r="IM28" s="3">
        <v>9.52</v>
      </c>
      <c r="IN28" s="3">
        <v>46.9</v>
      </c>
      <c r="IO28" s="3">
        <v>51.2</v>
      </c>
      <c r="IP28" s="3">
        <v>1.74</v>
      </c>
      <c r="IQ28" s="3">
        <v>47.8</v>
      </c>
      <c r="IR28" s="3">
        <v>40.799999999999997</v>
      </c>
      <c r="IS28" s="3">
        <v>59</v>
      </c>
      <c r="IT28" s="3">
        <v>9.08</v>
      </c>
      <c r="IU28" s="3">
        <v>23.4</v>
      </c>
      <c r="IV28" s="3">
        <v>3.77</v>
      </c>
      <c r="IW28" s="3">
        <v>11.5</v>
      </c>
      <c r="IX28" s="3">
        <v>42.5</v>
      </c>
      <c r="IY28" s="3">
        <v>75.3</v>
      </c>
      <c r="IZ28" s="3">
        <v>0.3</v>
      </c>
      <c r="JA28" s="3">
        <v>0.96</v>
      </c>
      <c r="JB28" s="3">
        <v>22.8</v>
      </c>
      <c r="JC28" s="3">
        <v>-14.8</v>
      </c>
      <c r="JD28" s="3">
        <v>278</v>
      </c>
      <c r="JE28" s="3">
        <v>204</v>
      </c>
      <c r="JF28" s="3">
        <v>697</v>
      </c>
      <c r="JG28" s="3">
        <v>934</v>
      </c>
      <c r="JH28" s="3">
        <v>203</v>
      </c>
      <c r="JI28" s="3">
        <v>60.8</v>
      </c>
    </row>
    <row r="29" spans="1:269" ht="15.75" x14ac:dyDescent="0.5">
      <c r="A29" t="s">
        <v>55</v>
      </c>
      <c r="B29" s="43">
        <v>213</v>
      </c>
      <c r="C29" s="10">
        <v>41</v>
      </c>
      <c r="E29" t="s">
        <v>77</v>
      </c>
      <c r="H29" s="5"/>
      <c r="I29" s="5"/>
      <c r="R29" s="5"/>
      <c r="AD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GV29">
        <v>41</v>
      </c>
      <c r="GW29" t="s">
        <v>17</v>
      </c>
      <c r="GX29">
        <v>11.4</v>
      </c>
      <c r="GY29">
        <v>2.89</v>
      </c>
      <c r="GZ29" s="20">
        <v>7.0899999999999999E-3</v>
      </c>
      <c r="HA29">
        <v>62.2</v>
      </c>
      <c r="HB29">
        <v>34.9</v>
      </c>
      <c r="HC29">
        <v>71.900000000000006</v>
      </c>
      <c r="HD29">
        <v>1.2999999999999999E-2</v>
      </c>
      <c r="HE29">
        <v>1.21</v>
      </c>
      <c r="HF29">
        <v>1.37</v>
      </c>
      <c r="HG29">
        <v>69.7</v>
      </c>
      <c r="HH29">
        <v>44.3</v>
      </c>
      <c r="HI29">
        <v>6.04</v>
      </c>
      <c r="HJ29">
        <v>44.5</v>
      </c>
      <c r="HK29">
        <v>38.5</v>
      </c>
      <c r="HL29">
        <v>10.3</v>
      </c>
      <c r="HM29">
        <v>42.1</v>
      </c>
      <c r="HN29">
        <v>44.1</v>
      </c>
      <c r="HO29">
        <v>12.3</v>
      </c>
      <c r="HP29">
        <v>32</v>
      </c>
      <c r="HQ29">
        <v>11.6</v>
      </c>
      <c r="HR29">
        <v>44.8</v>
      </c>
      <c r="HS29">
        <v>6.19</v>
      </c>
      <c r="HT29">
        <v>35.1</v>
      </c>
      <c r="HU29">
        <v>8.49</v>
      </c>
      <c r="HV29">
        <v>33.200000000000003</v>
      </c>
      <c r="HW29">
        <v>23.3</v>
      </c>
      <c r="HX29">
        <v>23.4</v>
      </c>
      <c r="HY29">
        <v>8.85</v>
      </c>
      <c r="HZ29">
        <v>26.1</v>
      </c>
      <c r="IA29">
        <v>40.1</v>
      </c>
      <c r="IB29">
        <v>25</v>
      </c>
      <c r="IC29">
        <v>13.1</v>
      </c>
      <c r="ID29">
        <v>3.16</v>
      </c>
      <c r="IE29">
        <v>12.2</v>
      </c>
      <c r="IF29">
        <v>78.400000000000006</v>
      </c>
      <c r="IG29">
        <v>4.07</v>
      </c>
      <c r="IH29">
        <v>8.89</v>
      </c>
      <c r="II29">
        <v>19.8</v>
      </c>
      <c r="IJ29">
        <v>0.28000000000000003</v>
      </c>
      <c r="IK29">
        <v>1.35</v>
      </c>
      <c r="IL29">
        <v>4.66</v>
      </c>
      <c r="IM29">
        <v>4.16</v>
      </c>
      <c r="IN29">
        <v>65.8</v>
      </c>
      <c r="IO29">
        <v>32.6</v>
      </c>
      <c r="IP29">
        <v>1.53</v>
      </c>
      <c r="IQ29">
        <v>62.5</v>
      </c>
      <c r="IR29">
        <v>30</v>
      </c>
      <c r="IS29">
        <v>65.599999999999994</v>
      </c>
      <c r="IT29">
        <v>2.4300000000000002</v>
      </c>
      <c r="IU29">
        <v>29.1</v>
      </c>
      <c r="IV29">
        <v>0.63</v>
      </c>
      <c r="IW29">
        <v>3.75</v>
      </c>
      <c r="IX29">
        <v>56.3</v>
      </c>
      <c r="IY29">
        <v>49</v>
      </c>
      <c r="IZ29">
        <v>0.56000000000000005</v>
      </c>
      <c r="JA29">
        <v>0.86</v>
      </c>
      <c r="JB29">
        <v>23.3</v>
      </c>
      <c r="JC29">
        <v>-119</v>
      </c>
      <c r="JD29">
        <v>276</v>
      </c>
      <c r="JE29">
        <v>188</v>
      </c>
      <c r="JF29">
        <v>257</v>
      </c>
      <c r="JG29">
        <v>162</v>
      </c>
      <c r="JH29">
        <v>-60.9</v>
      </c>
      <c r="JI29">
        <v>-114</v>
      </c>
    </row>
    <row r="30" spans="1:269" ht="15.75" x14ac:dyDescent="0.5">
      <c r="A30" t="s">
        <v>55</v>
      </c>
      <c r="B30" s="43">
        <v>214</v>
      </c>
      <c r="C30" s="10">
        <v>32</v>
      </c>
      <c r="E30" s="3" t="s">
        <v>71</v>
      </c>
      <c r="H30" s="5"/>
      <c r="I30" s="5"/>
      <c r="R30" s="5"/>
      <c r="AD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GV30">
        <v>32</v>
      </c>
      <c r="GW30" t="s">
        <v>18</v>
      </c>
      <c r="GX30">
        <v>14.6</v>
      </c>
      <c r="GY30">
        <v>3.47</v>
      </c>
      <c r="GZ30">
        <v>2.37</v>
      </c>
      <c r="HA30">
        <v>46.8</v>
      </c>
      <c r="HB30">
        <v>47.4</v>
      </c>
      <c r="HC30">
        <v>80.8</v>
      </c>
      <c r="HD30">
        <v>0.15</v>
      </c>
      <c r="HE30">
        <v>7.77</v>
      </c>
      <c r="HF30">
        <v>1</v>
      </c>
      <c r="HG30">
        <v>73.3</v>
      </c>
      <c r="HH30">
        <v>53.7</v>
      </c>
      <c r="HI30">
        <v>7.03</v>
      </c>
      <c r="HJ30">
        <v>55.4</v>
      </c>
      <c r="HK30">
        <v>26.3</v>
      </c>
      <c r="HL30">
        <v>9.6199999999999992</v>
      </c>
      <c r="HM30">
        <v>30.4</v>
      </c>
      <c r="HN30">
        <v>44.1</v>
      </c>
      <c r="HO30">
        <v>9.73</v>
      </c>
      <c r="HP30">
        <v>37.9</v>
      </c>
      <c r="HQ30">
        <v>8.24</v>
      </c>
      <c r="HR30">
        <v>56.3</v>
      </c>
      <c r="HS30">
        <v>6.07</v>
      </c>
      <c r="HT30">
        <v>45.3</v>
      </c>
      <c r="HU30">
        <v>3.36</v>
      </c>
      <c r="HV30">
        <v>40.5</v>
      </c>
      <c r="HW30">
        <v>10.8</v>
      </c>
      <c r="HX30">
        <v>18.600000000000001</v>
      </c>
      <c r="HY30">
        <v>13.7</v>
      </c>
      <c r="HZ30">
        <v>19.8</v>
      </c>
      <c r="IA30">
        <v>7</v>
      </c>
      <c r="IB30">
        <v>59.5</v>
      </c>
      <c r="IC30">
        <v>7.17</v>
      </c>
      <c r="ID30">
        <v>4.54</v>
      </c>
      <c r="IE30">
        <v>41.1</v>
      </c>
      <c r="IF30">
        <v>36.6</v>
      </c>
      <c r="IG30">
        <v>6.79</v>
      </c>
      <c r="IH30">
        <v>14.2</v>
      </c>
      <c r="II30">
        <v>12.7</v>
      </c>
      <c r="IJ30">
        <v>1.07</v>
      </c>
      <c r="IK30">
        <v>1.61</v>
      </c>
      <c r="IL30">
        <v>2.71</v>
      </c>
      <c r="IM30">
        <v>15.9</v>
      </c>
      <c r="IN30">
        <v>91.8</v>
      </c>
      <c r="IO30">
        <v>5.79</v>
      </c>
      <c r="IP30">
        <v>2.0699999999999998</v>
      </c>
      <c r="IQ30">
        <v>78.599999999999994</v>
      </c>
      <c r="IR30">
        <v>3.9</v>
      </c>
      <c r="IS30">
        <v>63.8</v>
      </c>
      <c r="IT30">
        <v>5.19</v>
      </c>
      <c r="IU30">
        <v>27.1</v>
      </c>
      <c r="IV30">
        <v>0.47</v>
      </c>
      <c r="IW30">
        <v>10.7</v>
      </c>
      <c r="IX30">
        <v>64.3</v>
      </c>
      <c r="IY30">
        <v>66.7</v>
      </c>
      <c r="IZ30">
        <v>0.31</v>
      </c>
      <c r="JA30">
        <v>1.91</v>
      </c>
      <c r="JB30">
        <v>36.5</v>
      </c>
      <c r="JC30">
        <v>15.7</v>
      </c>
      <c r="JD30">
        <v>238</v>
      </c>
      <c r="JE30">
        <v>295</v>
      </c>
      <c r="JF30">
        <v>356</v>
      </c>
      <c r="JG30">
        <v>597</v>
      </c>
      <c r="JH30">
        <v>140</v>
      </c>
      <c r="JI30">
        <v>-28.4</v>
      </c>
    </row>
    <row r="31" spans="1:269" ht="15.75" x14ac:dyDescent="0.5">
      <c r="A31" t="s">
        <v>55</v>
      </c>
      <c r="B31" s="43">
        <v>248</v>
      </c>
      <c r="C31" s="6">
        <v>32.884931506849313</v>
      </c>
      <c r="E31" t="s">
        <v>77</v>
      </c>
      <c r="H31" s="5"/>
      <c r="I31" s="5"/>
      <c r="R31" s="5"/>
      <c r="AD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GV31" s="5">
        <v>32.884931506849313</v>
      </c>
      <c r="GW31" s="4" t="s">
        <v>52</v>
      </c>
      <c r="GX31" s="27">
        <v>11.8</v>
      </c>
      <c r="GY31" s="27">
        <v>6.27</v>
      </c>
      <c r="GZ31">
        <v>3.0000000000001137E-2</v>
      </c>
      <c r="HA31" s="27">
        <v>49.1</v>
      </c>
      <c r="HB31" s="27">
        <v>44.6</v>
      </c>
      <c r="HC31" s="27">
        <v>77.2</v>
      </c>
      <c r="HD31" s="27">
        <v>1.2999999999999999E-2</v>
      </c>
      <c r="HE31" s="27">
        <v>3.33</v>
      </c>
      <c r="HF31" s="27">
        <v>2.0299999999999998</v>
      </c>
      <c r="HG31" s="27">
        <v>71.599999999999994</v>
      </c>
      <c r="HH31" s="27">
        <v>39.299999999999997</v>
      </c>
      <c r="HI31" s="27">
        <v>4</v>
      </c>
      <c r="HJ31" s="27">
        <v>15</v>
      </c>
      <c r="HK31" s="27">
        <v>53.8</v>
      </c>
      <c r="HL31" s="27">
        <v>23.6</v>
      </c>
      <c r="HM31" s="27">
        <v>75.599999999999994</v>
      </c>
      <c r="HN31" s="27">
        <v>67.900000000000006</v>
      </c>
      <c r="HO31" s="27">
        <v>3.51</v>
      </c>
      <c r="HP31" s="27">
        <v>11</v>
      </c>
      <c r="HQ31" s="27">
        <v>17.600000000000001</v>
      </c>
      <c r="HR31" s="27">
        <v>15</v>
      </c>
      <c r="HS31" s="27">
        <v>5.04</v>
      </c>
      <c r="HT31" s="27">
        <v>51.9</v>
      </c>
      <c r="HU31" s="27">
        <v>2.46</v>
      </c>
      <c r="HV31" s="27">
        <v>37.200000000000003</v>
      </c>
      <c r="HW31" s="27">
        <v>8.4600000000000009</v>
      </c>
      <c r="HX31" s="27">
        <v>29.8</v>
      </c>
      <c r="HY31" s="27">
        <v>15.4</v>
      </c>
      <c r="HZ31" s="27">
        <v>18.899999999999999</v>
      </c>
      <c r="IA31" s="27">
        <v>46.5</v>
      </c>
      <c r="IB31" s="27">
        <v>19.2</v>
      </c>
      <c r="IC31" s="27">
        <v>8.84</v>
      </c>
      <c r="ID31" s="27">
        <v>4.4000000000000004</v>
      </c>
      <c r="IE31" s="27">
        <v>41.3</v>
      </c>
      <c r="IF31" s="27">
        <v>49.4</v>
      </c>
      <c r="IG31" s="27">
        <v>4.8</v>
      </c>
      <c r="IH31" s="27">
        <v>9.11</v>
      </c>
      <c r="II31" s="27">
        <v>11.8</v>
      </c>
      <c r="IJ31" s="27">
        <v>1.95</v>
      </c>
      <c r="IK31" s="27">
        <v>2.3199999999999998</v>
      </c>
      <c r="IL31" s="27">
        <v>2.93</v>
      </c>
      <c r="IM31" s="27">
        <v>5.65</v>
      </c>
      <c r="IN31" s="27">
        <v>66.8</v>
      </c>
      <c r="IO31" s="27">
        <v>30</v>
      </c>
      <c r="IP31" s="27">
        <v>2.97</v>
      </c>
      <c r="IQ31" s="27">
        <v>73.2</v>
      </c>
      <c r="IR31" s="27">
        <v>19.5</v>
      </c>
      <c r="IS31" s="27">
        <v>53.4</v>
      </c>
      <c r="IU31" s="27">
        <v>23.7</v>
      </c>
      <c r="IV31" s="27">
        <v>3.29</v>
      </c>
      <c r="IW31" s="27">
        <v>5.23</v>
      </c>
      <c r="IX31" s="27">
        <v>46</v>
      </c>
      <c r="IY31" s="27">
        <v>90</v>
      </c>
      <c r="IZ31" s="27">
        <v>0.15</v>
      </c>
      <c r="JA31" s="27">
        <v>1.72</v>
      </c>
      <c r="JB31" s="27">
        <v>6.96</v>
      </c>
      <c r="JC31" s="27">
        <v>24.5</v>
      </c>
      <c r="JD31" s="27">
        <v>373</v>
      </c>
      <c r="JE31" s="27">
        <v>333</v>
      </c>
      <c r="JF31" s="27">
        <v>390</v>
      </c>
      <c r="JG31" s="27">
        <v>521</v>
      </c>
      <c r="JH31" s="27">
        <v>231</v>
      </c>
      <c r="JI31" s="27">
        <v>120</v>
      </c>
    </row>
    <row r="32" spans="1:269" ht="15.75" x14ac:dyDescent="0.5">
      <c r="A32" t="s">
        <v>55</v>
      </c>
      <c r="B32" s="43">
        <v>215</v>
      </c>
      <c r="C32" s="10">
        <v>31</v>
      </c>
      <c r="E32" t="s">
        <v>77</v>
      </c>
      <c r="H32" s="5"/>
      <c r="I32" s="5"/>
      <c r="R32" s="5"/>
      <c r="AD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GV32">
        <v>31</v>
      </c>
      <c r="GW32" s="3" t="s">
        <v>19</v>
      </c>
      <c r="GX32" s="3">
        <v>16.899999999999999</v>
      </c>
      <c r="GY32" s="3">
        <v>3.48</v>
      </c>
      <c r="GZ32" s="3">
        <v>0.42</v>
      </c>
      <c r="HA32" s="3">
        <v>29</v>
      </c>
      <c r="HB32" s="3">
        <v>67.099999999999994</v>
      </c>
      <c r="HC32" s="3">
        <v>61.6</v>
      </c>
      <c r="HD32" s="3">
        <v>2.5999999999999999E-2</v>
      </c>
      <c r="HE32" s="3">
        <v>4.22</v>
      </c>
      <c r="HF32" s="3">
        <v>6.74</v>
      </c>
      <c r="HG32" s="3">
        <v>52.2</v>
      </c>
      <c r="HH32" s="3">
        <v>37.5</v>
      </c>
      <c r="HI32" s="3">
        <v>4.74</v>
      </c>
      <c r="HJ32" s="3">
        <v>52.3</v>
      </c>
      <c r="HK32" s="3">
        <v>22.6</v>
      </c>
      <c r="HL32" s="3">
        <v>15.7</v>
      </c>
      <c r="HM32" s="3">
        <v>31.7</v>
      </c>
      <c r="HN32" s="3">
        <v>25</v>
      </c>
      <c r="HO32" s="3">
        <v>24.4</v>
      </c>
      <c r="HP32" s="3">
        <v>36</v>
      </c>
      <c r="HQ32" s="3">
        <v>14.6</v>
      </c>
      <c r="HR32" s="3">
        <v>54.7</v>
      </c>
      <c r="HS32" s="3">
        <v>9.2799999999999994</v>
      </c>
      <c r="HT32" s="3">
        <v>27.9</v>
      </c>
      <c r="HU32" s="3">
        <v>14.3</v>
      </c>
      <c r="HV32" s="3">
        <v>33.4</v>
      </c>
      <c r="HW32" s="3">
        <v>24.5</v>
      </c>
      <c r="HX32" s="3">
        <v>14</v>
      </c>
      <c r="HY32" s="3">
        <v>2.35</v>
      </c>
      <c r="HZ32" s="3">
        <v>17.399999999999999</v>
      </c>
      <c r="IA32" s="3">
        <v>34.5</v>
      </c>
      <c r="IB32" s="3">
        <v>43.2</v>
      </c>
      <c r="IC32" s="3">
        <v>17.600000000000001</v>
      </c>
      <c r="ID32" s="3">
        <v>4.83</v>
      </c>
      <c r="IE32" s="3">
        <v>22.6</v>
      </c>
      <c r="IF32" s="3">
        <v>56.6</v>
      </c>
      <c r="IG32" s="3">
        <v>10.7</v>
      </c>
      <c r="IH32" s="3">
        <v>21.9</v>
      </c>
      <c r="II32" s="3">
        <v>37.700000000000003</v>
      </c>
      <c r="IJ32" s="3">
        <v>0.74</v>
      </c>
      <c r="IK32" s="3">
        <v>1.87</v>
      </c>
      <c r="IL32" s="3">
        <v>2.1</v>
      </c>
      <c r="IM32" s="3">
        <v>3.05</v>
      </c>
      <c r="IN32" s="3">
        <v>60.8</v>
      </c>
      <c r="IO32" s="3">
        <v>36.6</v>
      </c>
      <c r="IP32" s="3">
        <v>2.5499999999999998</v>
      </c>
      <c r="IQ32" s="3">
        <v>76.400000000000006</v>
      </c>
      <c r="IR32" s="3">
        <v>20.2</v>
      </c>
      <c r="IS32" s="3">
        <v>29.1</v>
      </c>
      <c r="IT32" s="3">
        <v>4.1900000000000004</v>
      </c>
      <c r="IU32" s="3">
        <v>63.2</v>
      </c>
      <c r="IV32" s="3">
        <v>1.26</v>
      </c>
      <c r="IW32" s="3">
        <v>16.3</v>
      </c>
      <c r="IX32" s="3">
        <v>73.3</v>
      </c>
      <c r="IY32" s="3">
        <v>75.7</v>
      </c>
      <c r="IZ32" s="3">
        <v>1.58</v>
      </c>
      <c r="JA32" s="3">
        <v>5.93</v>
      </c>
      <c r="JB32" s="3">
        <v>32.6</v>
      </c>
      <c r="JC32" s="3">
        <v>-66.599999999999994</v>
      </c>
      <c r="JD32" s="3">
        <v>165</v>
      </c>
      <c r="JE32" s="3">
        <v>185</v>
      </c>
      <c r="JF32" s="3">
        <v>285</v>
      </c>
      <c r="JG32" s="3">
        <v>398</v>
      </c>
      <c r="JH32" s="3">
        <v>141</v>
      </c>
      <c r="JI32" s="3">
        <v>-9.2799999999999994</v>
      </c>
    </row>
    <row r="33" spans="1:269" ht="15.75" x14ac:dyDescent="0.5">
      <c r="A33" t="s">
        <v>55</v>
      </c>
      <c r="B33" s="43">
        <v>216</v>
      </c>
      <c r="C33" s="10">
        <v>25</v>
      </c>
      <c r="E33" t="s">
        <v>77</v>
      </c>
      <c r="G33" s="5"/>
      <c r="H33" s="5"/>
      <c r="I33" s="5"/>
      <c r="R33" s="5"/>
      <c r="AD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GV33">
        <v>25</v>
      </c>
      <c r="GW33" t="s">
        <v>20</v>
      </c>
      <c r="GX33">
        <v>16</v>
      </c>
      <c r="GY33">
        <v>1.03</v>
      </c>
      <c r="GZ33">
        <v>1.37</v>
      </c>
      <c r="HA33">
        <v>24.3</v>
      </c>
      <c r="HB33">
        <v>73.3</v>
      </c>
      <c r="HC33">
        <v>66.7</v>
      </c>
      <c r="HD33">
        <v>2.5999999999999999E-2</v>
      </c>
      <c r="HE33">
        <v>3.31</v>
      </c>
      <c r="HF33">
        <v>6.83</v>
      </c>
      <c r="HG33">
        <v>57.5</v>
      </c>
      <c r="HH33">
        <v>26.3</v>
      </c>
      <c r="HI33">
        <v>5.79</v>
      </c>
      <c r="HJ33">
        <v>54.3</v>
      </c>
      <c r="HK33">
        <v>21.3</v>
      </c>
      <c r="HL33">
        <v>17</v>
      </c>
      <c r="HM33">
        <v>31.4</v>
      </c>
      <c r="HN33">
        <v>59.2</v>
      </c>
      <c r="HO33">
        <v>4.8</v>
      </c>
      <c r="HP33">
        <v>29.3</v>
      </c>
      <c r="HQ33">
        <v>6.72</v>
      </c>
      <c r="HR33">
        <v>55.4</v>
      </c>
      <c r="HS33">
        <v>6.58</v>
      </c>
      <c r="HT33">
        <v>53.9</v>
      </c>
      <c r="HU33">
        <v>2.95</v>
      </c>
      <c r="HV33">
        <v>34.6</v>
      </c>
      <c r="HW33">
        <v>8.56</v>
      </c>
      <c r="HX33">
        <v>29.6</v>
      </c>
      <c r="HY33">
        <v>2.34</v>
      </c>
      <c r="HZ33">
        <v>11.6</v>
      </c>
      <c r="IA33">
        <v>30.4</v>
      </c>
      <c r="IB33">
        <v>55.7</v>
      </c>
      <c r="IC33">
        <v>13.8</v>
      </c>
      <c r="ID33">
        <v>2.17</v>
      </c>
      <c r="IE33">
        <v>17.3</v>
      </c>
      <c r="IF33">
        <v>65.599999999999994</v>
      </c>
      <c r="IG33">
        <v>6.15</v>
      </c>
      <c r="IH33">
        <v>18.8</v>
      </c>
      <c r="II33">
        <v>19</v>
      </c>
      <c r="IJ33">
        <v>0.9</v>
      </c>
      <c r="IK33">
        <v>0.59</v>
      </c>
      <c r="IL33">
        <v>11.7</v>
      </c>
      <c r="IM33">
        <v>2.69</v>
      </c>
      <c r="IN33">
        <v>85.8</v>
      </c>
      <c r="IO33">
        <v>12.6</v>
      </c>
      <c r="IP33">
        <v>1.54</v>
      </c>
      <c r="IQ33">
        <v>75.7</v>
      </c>
      <c r="IR33">
        <v>10.6</v>
      </c>
      <c r="IS33">
        <v>45.1</v>
      </c>
      <c r="IT33">
        <v>8</v>
      </c>
      <c r="IU33">
        <v>40.6</v>
      </c>
      <c r="IV33">
        <v>1.75</v>
      </c>
      <c r="IW33">
        <v>9.84</v>
      </c>
      <c r="IX33">
        <v>70.2</v>
      </c>
      <c r="IY33">
        <v>90.5</v>
      </c>
      <c r="IZ33">
        <v>0.67</v>
      </c>
      <c r="JA33">
        <v>2.66</v>
      </c>
      <c r="JB33">
        <v>33.4</v>
      </c>
      <c r="JC33">
        <v>20.8</v>
      </c>
      <c r="JD33">
        <v>540</v>
      </c>
      <c r="JE33">
        <v>575</v>
      </c>
      <c r="JF33">
        <v>413</v>
      </c>
      <c r="JG33">
        <v>455</v>
      </c>
      <c r="JH33">
        <v>256</v>
      </c>
      <c r="JI33">
        <v>-11.3</v>
      </c>
    </row>
    <row r="34" spans="1:269" ht="15.75" x14ac:dyDescent="0.5">
      <c r="A34" t="s">
        <v>55</v>
      </c>
      <c r="B34" s="43">
        <v>217</v>
      </c>
      <c r="C34" s="10">
        <v>26</v>
      </c>
      <c r="E34" t="s">
        <v>77</v>
      </c>
      <c r="H34" s="5"/>
      <c r="I34" s="5"/>
      <c r="R34" s="5"/>
      <c r="AD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GV34">
        <v>26</v>
      </c>
      <c r="GW34" s="3" t="s">
        <v>21</v>
      </c>
      <c r="GX34" s="3">
        <v>14</v>
      </c>
      <c r="GY34" s="3">
        <v>9.3699999999999992</v>
      </c>
      <c r="GZ34" s="3">
        <v>0.7</v>
      </c>
      <c r="HA34" s="3">
        <v>59.4</v>
      </c>
      <c r="HB34" s="3">
        <v>30.4</v>
      </c>
      <c r="HC34" s="3">
        <v>70.3</v>
      </c>
      <c r="HD34" s="3">
        <v>0.19</v>
      </c>
      <c r="HE34" s="3">
        <v>3.94</v>
      </c>
      <c r="HF34" s="3">
        <v>18</v>
      </c>
      <c r="HG34" s="3">
        <v>49.1</v>
      </c>
      <c r="HH34" s="3">
        <v>28.8</v>
      </c>
      <c r="HI34" s="3">
        <v>5.76</v>
      </c>
      <c r="HJ34" s="3">
        <v>42.8</v>
      </c>
      <c r="HK34" s="3">
        <v>26.2</v>
      </c>
      <c r="HL34" s="3">
        <v>21.7</v>
      </c>
      <c r="HM34" s="3">
        <v>44.3</v>
      </c>
      <c r="HN34" s="3">
        <v>41.9</v>
      </c>
      <c r="HO34" s="3">
        <v>13.7</v>
      </c>
      <c r="HP34" s="3">
        <v>24.6</v>
      </c>
      <c r="HQ34" s="3">
        <v>19.899999999999999</v>
      </c>
      <c r="HR34" s="3">
        <v>44.1</v>
      </c>
      <c r="HS34" s="3">
        <v>6.27</v>
      </c>
      <c r="HT34" s="3">
        <v>46.7</v>
      </c>
      <c r="HU34" s="3">
        <v>4.88</v>
      </c>
      <c r="HV34" s="3">
        <v>30.8</v>
      </c>
      <c r="HW34" s="3">
        <v>17.7</v>
      </c>
      <c r="HX34" s="3">
        <v>19.100000000000001</v>
      </c>
      <c r="HY34" s="3">
        <v>4.03</v>
      </c>
      <c r="HZ34" s="3">
        <v>22</v>
      </c>
      <c r="IA34" s="3">
        <v>41.4</v>
      </c>
      <c r="IB34" s="3">
        <v>29.9</v>
      </c>
      <c r="IC34" s="3">
        <v>9.58</v>
      </c>
      <c r="ID34" s="3">
        <v>1.48</v>
      </c>
      <c r="IE34" s="3">
        <v>34.4</v>
      </c>
      <c r="IF34" s="3">
        <v>51.9</v>
      </c>
      <c r="IG34" s="3">
        <v>7.64</v>
      </c>
      <c r="IH34" s="3">
        <v>8.49</v>
      </c>
      <c r="II34" s="3">
        <v>7.61</v>
      </c>
      <c r="IJ34" s="3">
        <v>0.54</v>
      </c>
      <c r="IK34" s="3">
        <v>1.1499999999999999</v>
      </c>
      <c r="IL34" s="3">
        <v>1.29</v>
      </c>
      <c r="IM34" s="3">
        <v>2.58</v>
      </c>
      <c r="IN34" s="3">
        <v>63</v>
      </c>
      <c r="IO34" s="3">
        <v>34.9</v>
      </c>
      <c r="IP34" s="3">
        <v>2.0099999999999998</v>
      </c>
      <c r="IQ34" s="3">
        <v>74.900000000000006</v>
      </c>
      <c r="IR34" s="3">
        <v>22</v>
      </c>
      <c r="IS34" s="3">
        <v>74.599999999999994</v>
      </c>
      <c r="IT34" s="3">
        <v>4.1399999999999997</v>
      </c>
      <c r="IU34" s="3">
        <v>17.5</v>
      </c>
      <c r="IV34" s="3">
        <v>1.6</v>
      </c>
      <c r="IW34" s="3">
        <v>13.1</v>
      </c>
      <c r="IX34" s="3">
        <v>61</v>
      </c>
      <c r="IY34" s="3">
        <v>73</v>
      </c>
      <c r="IZ34" s="3">
        <v>1.48</v>
      </c>
      <c r="JA34" s="3">
        <v>4.24</v>
      </c>
      <c r="JB34" s="3">
        <v>7.44</v>
      </c>
      <c r="JC34" s="3">
        <v>-63.4</v>
      </c>
      <c r="JD34" s="3">
        <v>199</v>
      </c>
      <c r="JE34" s="3">
        <v>249</v>
      </c>
      <c r="JF34" s="3">
        <v>320</v>
      </c>
      <c r="JG34" s="3">
        <v>810</v>
      </c>
      <c r="JH34" s="3">
        <v>236</v>
      </c>
      <c r="JI34" s="3">
        <v>-7.07</v>
      </c>
    </row>
    <row r="35" spans="1:269" ht="15.75" x14ac:dyDescent="0.5">
      <c r="A35" t="s">
        <v>55</v>
      </c>
      <c r="B35" s="43">
        <v>218</v>
      </c>
      <c r="C35" s="10">
        <v>35</v>
      </c>
      <c r="E35" s="3" t="s">
        <v>71</v>
      </c>
      <c r="H35" s="5"/>
      <c r="I35" s="5"/>
      <c r="R35" s="5"/>
      <c r="AD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GV35">
        <v>35</v>
      </c>
      <c r="GW35" t="s">
        <v>22</v>
      </c>
      <c r="GX35">
        <v>4.38</v>
      </c>
      <c r="GY35">
        <v>13.7</v>
      </c>
      <c r="GZ35">
        <v>0.18</v>
      </c>
      <c r="HA35">
        <v>56.7</v>
      </c>
      <c r="HB35">
        <v>29.4</v>
      </c>
      <c r="HC35">
        <v>73.5</v>
      </c>
      <c r="HD35">
        <v>0.05</v>
      </c>
      <c r="HE35">
        <v>2.73</v>
      </c>
      <c r="HF35">
        <v>5.26</v>
      </c>
      <c r="HG35">
        <v>66.099999999999994</v>
      </c>
      <c r="HH35">
        <v>46.5</v>
      </c>
      <c r="HI35">
        <v>5.43</v>
      </c>
      <c r="HJ35">
        <v>60.8</v>
      </c>
      <c r="HK35">
        <v>24.6</v>
      </c>
      <c r="HL35">
        <v>8.34</v>
      </c>
      <c r="HM35">
        <v>26.6</v>
      </c>
      <c r="HN35">
        <v>25.8</v>
      </c>
      <c r="HO35">
        <v>23.9</v>
      </c>
      <c r="HP35">
        <v>32.799999999999997</v>
      </c>
      <c r="HQ35">
        <v>17.5</v>
      </c>
      <c r="HR35">
        <v>61</v>
      </c>
      <c r="HS35">
        <v>6.07</v>
      </c>
      <c r="HT35">
        <v>25.3</v>
      </c>
      <c r="HU35">
        <v>11.9</v>
      </c>
      <c r="HV35">
        <v>40.5</v>
      </c>
      <c r="HW35">
        <v>22.4</v>
      </c>
      <c r="HX35">
        <v>18.5</v>
      </c>
      <c r="HY35">
        <v>3.83</v>
      </c>
      <c r="HZ35">
        <v>6.23</v>
      </c>
      <c r="IA35">
        <v>12.5</v>
      </c>
      <c r="IB35">
        <v>77.5</v>
      </c>
      <c r="IC35">
        <v>19.399999999999999</v>
      </c>
      <c r="ID35">
        <v>4.38</v>
      </c>
      <c r="IE35">
        <v>14.4</v>
      </c>
      <c r="IF35">
        <v>77.2</v>
      </c>
      <c r="IG35">
        <v>2.77</v>
      </c>
      <c r="IH35">
        <v>6.91</v>
      </c>
      <c r="II35">
        <v>23.1</v>
      </c>
      <c r="IJ35">
        <v>0.4</v>
      </c>
      <c r="IK35">
        <v>1.79</v>
      </c>
      <c r="IL35">
        <v>5.61</v>
      </c>
      <c r="IM35">
        <v>4.12</v>
      </c>
      <c r="IN35">
        <v>84</v>
      </c>
      <c r="IO35">
        <v>13.9</v>
      </c>
      <c r="IP35">
        <v>2</v>
      </c>
      <c r="IQ35">
        <v>82.5</v>
      </c>
      <c r="IR35">
        <v>8.7100000000000009</v>
      </c>
      <c r="IS35">
        <v>61.8</v>
      </c>
      <c r="IT35">
        <v>4.99</v>
      </c>
      <c r="IU35">
        <v>29.9</v>
      </c>
      <c r="IV35">
        <v>0.4</v>
      </c>
      <c r="IW35">
        <v>6.92</v>
      </c>
      <c r="IX35">
        <v>59.2</v>
      </c>
      <c r="IY35">
        <v>81.2</v>
      </c>
      <c r="IZ35">
        <v>0.25</v>
      </c>
      <c r="JA35">
        <v>2.8</v>
      </c>
      <c r="JB35">
        <v>5.76</v>
      </c>
      <c r="JC35">
        <v>-47.8</v>
      </c>
      <c r="JD35">
        <v>304</v>
      </c>
      <c r="JE35">
        <v>519</v>
      </c>
      <c r="JF35">
        <v>296</v>
      </c>
      <c r="JG35">
        <v>727</v>
      </c>
      <c r="JH35">
        <v>165</v>
      </c>
      <c r="JI35">
        <v>-92.4</v>
      </c>
    </row>
    <row r="36" spans="1:269" ht="15.75" x14ac:dyDescent="0.5">
      <c r="A36" t="s">
        <v>55</v>
      </c>
      <c r="B36" s="43">
        <v>219</v>
      </c>
      <c r="C36" s="10">
        <v>49</v>
      </c>
      <c r="E36" t="s">
        <v>77</v>
      </c>
      <c r="H36" s="5"/>
      <c r="I36" s="5"/>
      <c r="R36" s="5"/>
      <c r="AD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GV36">
        <v>49</v>
      </c>
      <c r="GW36" t="s">
        <v>23</v>
      </c>
      <c r="GX36">
        <v>15.3</v>
      </c>
      <c r="GY36">
        <v>7.66</v>
      </c>
      <c r="GZ36">
        <v>0.1</v>
      </c>
      <c r="HA36">
        <v>54</v>
      </c>
      <c r="HB36">
        <v>38.200000000000003</v>
      </c>
      <c r="HC36">
        <v>54.6</v>
      </c>
      <c r="HD36">
        <v>0.14000000000000001</v>
      </c>
      <c r="HE36">
        <v>10.199999999999999</v>
      </c>
      <c r="HF36">
        <v>4.22</v>
      </c>
      <c r="HG36">
        <v>44.4</v>
      </c>
      <c r="HH36">
        <v>27</v>
      </c>
      <c r="HI36">
        <v>8.14</v>
      </c>
      <c r="HJ36">
        <v>21.6</v>
      </c>
      <c r="HK36">
        <v>40.700000000000003</v>
      </c>
      <c r="HL36">
        <v>27.9</v>
      </c>
      <c r="HM36">
        <v>54.3</v>
      </c>
      <c r="HN36">
        <v>74.8</v>
      </c>
      <c r="HO36">
        <v>0.92</v>
      </c>
      <c r="HP36">
        <v>20.5</v>
      </c>
      <c r="HQ36">
        <v>3.83</v>
      </c>
      <c r="HR36">
        <v>18.899999999999999</v>
      </c>
      <c r="HS36">
        <v>13.4</v>
      </c>
      <c r="HT36">
        <v>71.900000000000006</v>
      </c>
      <c r="HU36">
        <v>0.28000000000000003</v>
      </c>
      <c r="HV36">
        <v>26.7</v>
      </c>
      <c r="HW36">
        <v>1.1599999999999999</v>
      </c>
      <c r="HX36">
        <v>16</v>
      </c>
      <c r="HY36">
        <v>5.17</v>
      </c>
      <c r="HZ36">
        <v>34.200000000000003</v>
      </c>
      <c r="IA36">
        <v>51.5</v>
      </c>
      <c r="IB36">
        <v>9.1199999999999992</v>
      </c>
      <c r="IC36">
        <v>19.600000000000001</v>
      </c>
      <c r="ID36">
        <v>2.72</v>
      </c>
      <c r="IE36">
        <v>14</v>
      </c>
      <c r="IF36">
        <v>67.599999999999994</v>
      </c>
      <c r="IG36">
        <v>10.6</v>
      </c>
      <c r="IH36">
        <v>9.99</v>
      </c>
      <c r="II36">
        <v>16.2</v>
      </c>
      <c r="IJ36">
        <v>0.8</v>
      </c>
      <c r="IK36">
        <v>1.67</v>
      </c>
      <c r="IL36">
        <v>5.89</v>
      </c>
      <c r="IM36">
        <v>5.86</v>
      </c>
      <c r="IN36">
        <v>80.8</v>
      </c>
      <c r="IO36">
        <v>17.8</v>
      </c>
      <c r="IP36">
        <v>1.32</v>
      </c>
      <c r="IQ36">
        <v>72.5</v>
      </c>
      <c r="IR36">
        <v>20.5</v>
      </c>
      <c r="IS36">
        <v>55</v>
      </c>
      <c r="IT36">
        <v>7.43</v>
      </c>
      <c r="IU36">
        <v>27.1</v>
      </c>
      <c r="IV36">
        <v>6.55</v>
      </c>
      <c r="IW36">
        <v>8.9</v>
      </c>
      <c r="IX36">
        <v>37.1</v>
      </c>
      <c r="IY36">
        <v>51.5</v>
      </c>
      <c r="IZ36">
        <v>0.85</v>
      </c>
      <c r="JA36">
        <v>2.34</v>
      </c>
      <c r="JB36">
        <v>6.31</v>
      </c>
      <c r="JC36">
        <v>179</v>
      </c>
      <c r="JD36">
        <v>558</v>
      </c>
      <c r="JE36">
        <v>681</v>
      </c>
      <c r="JF36">
        <v>575</v>
      </c>
      <c r="JG36">
        <v>776</v>
      </c>
      <c r="JH36">
        <v>510</v>
      </c>
      <c r="JI36">
        <v>326</v>
      </c>
    </row>
    <row r="37" spans="1:269" ht="15.75" x14ac:dyDescent="0.5">
      <c r="A37" t="s">
        <v>55</v>
      </c>
      <c r="B37" s="43">
        <v>220</v>
      </c>
      <c r="C37" s="10">
        <v>35</v>
      </c>
      <c r="E37" t="s">
        <v>77</v>
      </c>
      <c r="H37" s="5"/>
      <c r="I37" s="5"/>
      <c r="R37" s="5"/>
      <c r="AD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GV37">
        <v>35</v>
      </c>
      <c r="GW37" s="3" t="s">
        <v>24</v>
      </c>
      <c r="GX37" s="3">
        <v>8.6300000000000008</v>
      </c>
      <c r="GY37" s="3">
        <v>4.8499999999999996</v>
      </c>
      <c r="GZ37" s="3">
        <v>0.43</v>
      </c>
      <c r="HA37" s="3">
        <v>30.2</v>
      </c>
      <c r="HB37" s="3">
        <v>61.5</v>
      </c>
      <c r="HC37" s="3">
        <v>73.900000000000006</v>
      </c>
      <c r="HD37" s="25">
        <v>8.1799999999999998E-3</v>
      </c>
      <c r="HE37" s="3">
        <v>4.34</v>
      </c>
      <c r="HF37" s="3">
        <v>2.17</v>
      </c>
      <c r="HG37" s="3">
        <v>68.2</v>
      </c>
      <c r="HH37" s="3">
        <v>40.6</v>
      </c>
      <c r="HI37" s="3">
        <v>7.69</v>
      </c>
      <c r="HJ37" s="3">
        <v>58.3</v>
      </c>
      <c r="HK37" s="3">
        <v>21.6</v>
      </c>
      <c r="HL37" s="3">
        <v>6.11</v>
      </c>
      <c r="HM37" s="3">
        <v>22.4</v>
      </c>
      <c r="HN37" s="3">
        <v>54.1</v>
      </c>
      <c r="HO37" s="3">
        <v>10.7</v>
      </c>
      <c r="HP37" s="3">
        <v>21.8</v>
      </c>
      <c r="HQ37" s="3">
        <v>13.3</v>
      </c>
      <c r="HR37" s="3">
        <v>59.7</v>
      </c>
      <c r="HS37" s="3">
        <v>10.1</v>
      </c>
      <c r="HT37" s="3">
        <v>37.1</v>
      </c>
      <c r="HU37" s="3">
        <v>9.52</v>
      </c>
      <c r="HV37" s="3">
        <v>28.3</v>
      </c>
      <c r="HW37" s="3">
        <v>25.1</v>
      </c>
      <c r="HX37" s="3">
        <v>27</v>
      </c>
      <c r="HY37" s="3">
        <v>4.0599999999999996</v>
      </c>
      <c r="HZ37" s="3">
        <v>4.6399999999999997</v>
      </c>
      <c r="IA37" s="3">
        <v>23</v>
      </c>
      <c r="IB37" s="3">
        <v>67</v>
      </c>
      <c r="IC37" s="3">
        <v>15.5</v>
      </c>
      <c r="ID37" s="3">
        <v>3.42</v>
      </c>
      <c r="IE37" s="3">
        <v>12</v>
      </c>
      <c r="IF37" s="3">
        <v>65.7</v>
      </c>
      <c r="IG37" s="3">
        <v>12</v>
      </c>
      <c r="IH37" s="3">
        <v>11.1</v>
      </c>
      <c r="II37" s="3">
        <v>16</v>
      </c>
      <c r="IJ37" s="3">
        <v>0.53</v>
      </c>
      <c r="IK37" s="3">
        <v>0.95</v>
      </c>
      <c r="IL37" s="3">
        <v>1.65</v>
      </c>
      <c r="IM37" s="3">
        <v>10.4</v>
      </c>
      <c r="IN37" s="3">
        <v>47</v>
      </c>
      <c r="IO37" s="3">
        <v>51.4</v>
      </c>
      <c r="IP37" s="3">
        <v>1.5</v>
      </c>
      <c r="IQ37" s="3">
        <v>59.1</v>
      </c>
      <c r="IR37" s="3">
        <v>30</v>
      </c>
      <c r="IS37" s="3">
        <v>54.9</v>
      </c>
      <c r="IT37" s="3">
        <v>3.66</v>
      </c>
      <c r="IU37" s="3">
        <v>31</v>
      </c>
      <c r="IV37" s="3">
        <v>0.21</v>
      </c>
      <c r="IW37" s="3">
        <v>5.67</v>
      </c>
      <c r="IX37" s="3">
        <v>52.7</v>
      </c>
      <c r="IY37" s="3">
        <v>89</v>
      </c>
      <c r="IZ37" s="3">
        <v>0.3</v>
      </c>
      <c r="JA37" s="3">
        <v>2.67</v>
      </c>
      <c r="JB37" s="3">
        <v>35.1</v>
      </c>
      <c r="JC37" s="3">
        <v>-6.96</v>
      </c>
      <c r="JD37" s="3">
        <v>294</v>
      </c>
      <c r="JE37" s="3">
        <v>354</v>
      </c>
      <c r="JF37" s="3">
        <v>307</v>
      </c>
      <c r="JG37" s="3">
        <v>426</v>
      </c>
      <c r="JH37" s="3">
        <v>107</v>
      </c>
      <c r="JI37" s="3">
        <v>-12.9</v>
      </c>
    </row>
    <row r="38" spans="1:269" ht="15.75" x14ac:dyDescent="0.5">
      <c r="A38" t="s">
        <v>55</v>
      </c>
      <c r="B38" s="43">
        <v>221</v>
      </c>
      <c r="C38" s="10">
        <v>67</v>
      </c>
      <c r="E38" s="3" t="s">
        <v>71</v>
      </c>
      <c r="H38" s="5"/>
      <c r="I38" s="5"/>
      <c r="R38" s="5"/>
      <c r="AD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GV38">
        <v>67</v>
      </c>
      <c r="GW38" s="24" t="s">
        <v>25</v>
      </c>
      <c r="GX38" s="24">
        <v>9.35</v>
      </c>
      <c r="GY38" s="24">
        <v>3.63</v>
      </c>
      <c r="GZ38" s="24">
        <v>7.0999999999999994E-2</v>
      </c>
      <c r="HA38" s="24">
        <v>51.3</v>
      </c>
      <c r="HB38" s="24">
        <v>45</v>
      </c>
      <c r="HC38" s="24">
        <v>74.5</v>
      </c>
      <c r="HD38" s="24">
        <v>0.32</v>
      </c>
      <c r="HE38" s="24">
        <v>3.43</v>
      </c>
      <c r="HF38" s="24">
        <v>1.91</v>
      </c>
      <c r="HG38" s="24">
        <v>69.5</v>
      </c>
      <c r="HH38" s="24">
        <v>47.6</v>
      </c>
      <c r="HI38" s="24">
        <v>5.93</v>
      </c>
      <c r="HJ38" s="24">
        <v>57.9</v>
      </c>
      <c r="HK38" s="24">
        <v>22.3</v>
      </c>
      <c r="HL38" s="24">
        <v>11.1</v>
      </c>
      <c r="HM38" s="24">
        <v>30.6</v>
      </c>
      <c r="HN38" s="24">
        <v>51.5</v>
      </c>
      <c r="HO38" s="24">
        <v>8.52</v>
      </c>
      <c r="HP38" s="24">
        <v>27.1</v>
      </c>
      <c r="HQ38" s="24">
        <v>12.9</v>
      </c>
      <c r="HR38" s="24">
        <v>44</v>
      </c>
      <c r="HS38" s="24">
        <v>3.51</v>
      </c>
      <c r="HT38" s="24">
        <v>34.799999999999997</v>
      </c>
      <c r="HU38" s="24">
        <v>6.43</v>
      </c>
      <c r="HV38" s="24">
        <v>42.5</v>
      </c>
      <c r="HW38" s="24">
        <v>16.3</v>
      </c>
      <c r="HX38" s="24">
        <v>15.4</v>
      </c>
      <c r="HY38" s="24">
        <v>4.2</v>
      </c>
      <c r="HZ38" s="24">
        <v>29.3</v>
      </c>
      <c r="IA38" s="24">
        <v>29.8</v>
      </c>
      <c r="IB38" s="24">
        <v>36.700000000000003</v>
      </c>
      <c r="IC38" s="24">
        <v>14</v>
      </c>
      <c r="ID38" s="24">
        <v>3.79</v>
      </c>
      <c r="IE38" s="24">
        <v>57.2</v>
      </c>
      <c r="IF38" s="24">
        <v>26.3</v>
      </c>
      <c r="IG38" s="24">
        <v>8.5500000000000007</v>
      </c>
      <c r="IH38" s="24">
        <v>4.6399999999999997</v>
      </c>
      <c r="II38" s="24">
        <v>13.2</v>
      </c>
      <c r="IJ38" s="24">
        <v>0.86</v>
      </c>
      <c r="IK38" s="24">
        <v>2.81</v>
      </c>
      <c r="IL38" s="24">
        <v>1.03</v>
      </c>
      <c r="IM38" s="24">
        <v>3.79</v>
      </c>
      <c r="IN38" s="24">
        <v>59.8</v>
      </c>
      <c r="IO38" s="24">
        <v>36.5</v>
      </c>
      <c r="IP38" s="24">
        <v>3.52</v>
      </c>
      <c r="IQ38" s="24">
        <v>69.8</v>
      </c>
      <c r="IR38" s="24">
        <v>25.7</v>
      </c>
      <c r="IS38" s="24">
        <v>58.2</v>
      </c>
      <c r="IT38" s="24">
        <v>2.2999999999999998</v>
      </c>
      <c r="IU38" s="24">
        <v>20.5</v>
      </c>
      <c r="IV38" s="24">
        <v>0.37</v>
      </c>
      <c r="IW38" s="24">
        <v>3.4</v>
      </c>
      <c r="IX38" s="24">
        <v>67.900000000000006</v>
      </c>
      <c r="IY38" s="24">
        <v>84.4</v>
      </c>
      <c r="IZ38" s="24">
        <v>0.25</v>
      </c>
      <c r="JA38" s="24">
        <v>2.17</v>
      </c>
      <c r="JB38" s="24">
        <v>13.8</v>
      </c>
      <c r="JC38" s="24">
        <v>-51.1</v>
      </c>
      <c r="JD38" s="24">
        <v>231</v>
      </c>
      <c r="JE38" s="24">
        <v>389</v>
      </c>
      <c r="JF38" s="24">
        <v>274</v>
      </c>
      <c r="JG38" s="24">
        <v>228</v>
      </c>
      <c r="JH38" s="24">
        <v>129</v>
      </c>
      <c r="JI38" s="24">
        <v>-6.9</v>
      </c>
    </row>
    <row r="39" spans="1:269" ht="15.75" x14ac:dyDescent="0.5">
      <c r="A39" t="s">
        <v>55</v>
      </c>
      <c r="B39" s="43">
        <v>222</v>
      </c>
      <c r="C39" s="10">
        <v>62</v>
      </c>
      <c r="E39" s="3" t="s">
        <v>71</v>
      </c>
      <c r="H39" s="5"/>
      <c r="I39" s="5"/>
      <c r="R39" s="5"/>
      <c r="AD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GV39">
        <v>62</v>
      </c>
      <c r="GW39" t="s">
        <v>26</v>
      </c>
      <c r="GX39">
        <v>10.9</v>
      </c>
      <c r="GY39">
        <v>9.26</v>
      </c>
      <c r="GZ39">
        <v>0.42</v>
      </c>
      <c r="HA39">
        <v>69.3</v>
      </c>
      <c r="HB39">
        <v>21</v>
      </c>
      <c r="HC39">
        <v>83</v>
      </c>
      <c r="HD39">
        <v>0.14000000000000001</v>
      </c>
      <c r="HE39">
        <v>7.29</v>
      </c>
      <c r="HF39">
        <v>2.0099999999999998</v>
      </c>
      <c r="HG39">
        <v>74.7</v>
      </c>
      <c r="HH39">
        <v>54.6</v>
      </c>
      <c r="HI39">
        <v>6.93</v>
      </c>
      <c r="HJ39">
        <v>45.2</v>
      </c>
      <c r="HK39">
        <v>30.5</v>
      </c>
      <c r="HL39">
        <v>15.2</v>
      </c>
      <c r="HM39">
        <v>35.700000000000003</v>
      </c>
      <c r="HN39">
        <v>23.4</v>
      </c>
      <c r="HO39">
        <v>17.399999999999999</v>
      </c>
      <c r="HP39">
        <v>52</v>
      </c>
      <c r="HQ39">
        <v>7.13</v>
      </c>
      <c r="HR39">
        <v>46.4</v>
      </c>
      <c r="HS39">
        <v>10.5</v>
      </c>
      <c r="HT39">
        <v>29</v>
      </c>
      <c r="HU39">
        <v>7.73</v>
      </c>
      <c r="HV39">
        <v>43.6</v>
      </c>
      <c r="HW39">
        <v>19.7</v>
      </c>
      <c r="HX39">
        <v>18.5</v>
      </c>
      <c r="HY39">
        <v>9.82</v>
      </c>
      <c r="HZ39">
        <v>16.2</v>
      </c>
      <c r="IA39">
        <v>12.7</v>
      </c>
      <c r="IB39">
        <v>61.1</v>
      </c>
      <c r="IC39">
        <v>7.11</v>
      </c>
      <c r="ID39">
        <v>10.5</v>
      </c>
      <c r="IE39">
        <v>17.100000000000001</v>
      </c>
      <c r="IF39">
        <v>57.1</v>
      </c>
      <c r="IG39">
        <v>10.4</v>
      </c>
      <c r="IH39">
        <v>15.7</v>
      </c>
      <c r="II39">
        <v>14.4</v>
      </c>
      <c r="IJ39">
        <v>0.72</v>
      </c>
      <c r="IK39">
        <v>1.3</v>
      </c>
      <c r="IL39">
        <v>1.38</v>
      </c>
      <c r="IM39">
        <v>9.1300000000000008</v>
      </c>
      <c r="IN39">
        <v>92.6</v>
      </c>
      <c r="IO39">
        <v>5.48</v>
      </c>
      <c r="IP39">
        <v>1.6</v>
      </c>
      <c r="IQ39">
        <v>87.3</v>
      </c>
      <c r="IR39">
        <v>2.62</v>
      </c>
      <c r="IS39">
        <v>43</v>
      </c>
      <c r="IT39">
        <v>16.8</v>
      </c>
      <c r="IU39">
        <v>36.6</v>
      </c>
      <c r="IV39">
        <v>1.52</v>
      </c>
      <c r="IW39">
        <v>13.3</v>
      </c>
      <c r="IX39">
        <v>42</v>
      </c>
      <c r="IY39">
        <v>49.6</v>
      </c>
      <c r="IZ39">
        <v>0.6</v>
      </c>
      <c r="JA39">
        <v>2.3199999999999998</v>
      </c>
      <c r="JB39">
        <v>5.76</v>
      </c>
      <c r="JC39">
        <v>28.2</v>
      </c>
      <c r="JD39">
        <v>386</v>
      </c>
      <c r="JE39">
        <v>504</v>
      </c>
      <c r="JF39">
        <v>376</v>
      </c>
      <c r="JG39">
        <v>583</v>
      </c>
      <c r="JH39">
        <v>379</v>
      </c>
      <c r="JI39">
        <v>9.5500000000000007</v>
      </c>
    </row>
    <row r="40" spans="1:269" ht="15.75" x14ac:dyDescent="0.5">
      <c r="A40" t="s">
        <v>55</v>
      </c>
      <c r="B40" s="43">
        <v>223</v>
      </c>
      <c r="C40" s="10">
        <v>48</v>
      </c>
      <c r="E40" t="s">
        <v>77</v>
      </c>
      <c r="H40" s="5"/>
      <c r="I40" s="5"/>
      <c r="R40" s="5"/>
      <c r="AD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GV40">
        <v>48</v>
      </c>
      <c r="GW40" t="s">
        <v>27</v>
      </c>
      <c r="GX40">
        <v>12</v>
      </c>
      <c r="GY40">
        <v>9.4700000000000006</v>
      </c>
      <c r="GZ40">
        <v>0.09</v>
      </c>
      <c r="HA40">
        <v>39.700000000000003</v>
      </c>
      <c r="HB40">
        <v>50.7</v>
      </c>
      <c r="HC40">
        <v>77.5</v>
      </c>
      <c r="HD40">
        <v>0.22</v>
      </c>
      <c r="HE40">
        <v>1.18</v>
      </c>
      <c r="HF40">
        <v>3.03</v>
      </c>
      <c r="HG40">
        <v>73.3</v>
      </c>
      <c r="HH40">
        <v>41.3</v>
      </c>
      <c r="HI40">
        <v>5.68</v>
      </c>
      <c r="HJ40">
        <v>35.6</v>
      </c>
      <c r="HK40">
        <v>34.299999999999997</v>
      </c>
      <c r="HL40">
        <v>24.9</v>
      </c>
      <c r="HM40">
        <v>54.5</v>
      </c>
      <c r="HN40">
        <v>46.3</v>
      </c>
      <c r="HO40">
        <v>13.4</v>
      </c>
      <c r="HP40">
        <v>20.2</v>
      </c>
      <c r="HQ40">
        <v>20</v>
      </c>
      <c r="HR40">
        <v>34.200000000000003</v>
      </c>
      <c r="HS40">
        <v>4.0199999999999996</v>
      </c>
      <c r="HT40">
        <v>52.6</v>
      </c>
      <c r="HU40">
        <v>3.72</v>
      </c>
      <c r="HV40">
        <v>29.7</v>
      </c>
      <c r="HW40">
        <v>14</v>
      </c>
      <c r="HX40">
        <v>30.4</v>
      </c>
      <c r="HY40">
        <v>3.8</v>
      </c>
      <c r="HZ40">
        <v>20</v>
      </c>
      <c r="IA40">
        <v>42.8</v>
      </c>
      <c r="IB40">
        <v>33.4</v>
      </c>
      <c r="IC40">
        <v>6.43</v>
      </c>
      <c r="ID40">
        <v>2.0299999999999998</v>
      </c>
      <c r="IE40">
        <v>38.799999999999997</v>
      </c>
      <c r="IF40">
        <v>49.7</v>
      </c>
      <c r="IG40">
        <v>2.42</v>
      </c>
      <c r="IH40">
        <v>5.73</v>
      </c>
      <c r="II40">
        <v>11.4</v>
      </c>
      <c r="IJ40">
        <v>0.8</v>
      </c>
      <c r="IK40">
        <v>0.52</v>
      </c>
      <c r="IL40">
        <v>26.3</v>
      </c>
      <c r="IM40">
        <v>5.76</v>
      </c>
      <c r="IN40">
        <v>80.900000000000006</v>
      </c>
      <c r="IO40">
        <v>17.3</v>
      </c>
      <c r="IP40">
        <v>1.53</v>
      </c>
      <c r="IQ40">
        <v>59.5</v>
      </c>
      <c r="IR40">
        <v>8.8800000000000008</v>
      </c>
      <c r="IS40">
        <v>62.6</v>
      </c>
      <c r="IT40">
        <v>11.7</v>
      </c>
      <c r="IU40">
        <v>19.399999999999999</v>
      </c>
      <c r="IV40">
        <v>1.22</v>
      </c>
      <c r="IW40">
        <v>4.28</v>
      </c>
      <c r="IX40">
        <v>62.9</v>
      </c>
      <c r="IY40">
        <v>79.2</v>
      </c>
      <c r="IZ40">
        <v>0.25</v>
      </c>
      <c r="JA40">
        <v>2.19</v>
      </c>
      <c r="JB40">
        <v>6.58</v>
      </c>
      <c r="JC40">
        <v>34</v>
      </c>
      <c r="JD40">
        <v>281</v>
      </c>
      <c r="JE40">
        <v>369</v>
      </c>
      <c r="JF40">
        <v>216</v>
      </c>
      <c r="JG40">
        <v>384</v>
      </c>
      <c r="JH40">
        <v>136</v>
      </c>
      <c r="JI40">
        <v>-8.85</v>
      </c>
    </row>
    <row r="41" spans="1:269" ht="15.75" x14ac:dyDescent="0.5">
      <c r="A41" t="s">
        <v>55</v>
      </c>
      <c r="B41" s="43">
        <v>224</v>
      </c>
      <c r="C41" s="10">
        <v>29</v>
      </c>
      <c r="E41" s="3" t="s">
        <v>71</v>
      </c>
      <c r="H41" s="5"/>
      <c r="I41" s="5"/>
      <c r="R41" s="5"/>
      <c r="AD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GV41">
        <v>29</v>
      </c>
      <c r="GW41" t="s">
        <v>28</v>
      </c>
      <c r="GX41">
        <v>10.7</v>
      </c>
      <c r="GY41">
        <v>13.3</v>
      </c>
      <c r="GZ41">
        <v>3.4000000000000002E-2</v>
      </c>
      <c r="HA41">
        <v>47.7</v>
      </c>
      <c r="HB41">
        <v>39</v>
      </c>
      <c r="HC41">
        <v>74</v>
      </c>
      <c r="HD41">
        <v>7.0000000000000007E-2</v>
      </c>
      <c r="HE41">
        <v>1.48</v>
      </c>
      <c r="HF41">
        <v>3.16</v>
      </c>
      <c r="HG41">
        <v>69.599999999999994</v>
      </c>
      <c r="HH41">
        <v>56.4</v>
      </c>
      <c r="HI41">
        <v>8.48</v>
      </c>
      <c r="HJ41">
        <v>45.2</v>
      </c>
      <c r="HK41">
        <v>36</v>
      </c>
      <c r="HL41">
        <v>8.24</v>
      </c>
      <c r="HM41">
        <v>37.799999999999997</v>
      </c>
      <c r="HN41">
        <v>46</v>
      </c>
      <c r="HO41">
        <v>9.2100000000000009</v>
      </c>
      <c r="HP41">
        <v>31.2</v>
      </c>
      <c r="HQ41">
        <v>13.6</v>
      </c>
      <c r="HR41">
        <v>47</v>
      </c>
      <c r="HS41">
        <v>7.57</v>
      </c>
      <c r="HT41">
        <v>40.5</v>
      </c>
      <c r="HU41">
        <v>2.33</v>
      </c>
      <c r="HV41">
        <v>51.1</v>
      </c>
      <c r="HW41">
        <v>6.14</v>
      </c>
      <c r="HX41">
        <v>12.4</v>
      </c>
      <c r="HY41">
        <v>8.16</v>
      </c>
      <c r="HZ41">
        <v>24.6</v>
      </c>
      <c r="IA41">
        <v>13.9</v>
      </c>
      <c r="IB41">
        <v>53.2</v>
      </c>
      <c r="IC41">
        <v>11.5</v>
      </c>
      <c r="ID41">
        <v>5.75</v>
      </c>
      <c r="IE41">
        <v>29.2</v>
      </c>
      <c r="IF41">
        <v>60.4</v>
      </c>
      <c r="IG41">
        <v>3.54</v>
      </c>
      <c r="IH41">
        <v>9.49</v>
      </c>
      <c r="II41">
        <v>15.4</v>
      </c>
      <c r="IJ41">
        <v>0.56000000000000005</v>
      </c>
      <c r="IK41">
        <v>1.0900000000000001</v>
      </c>
      <c r="IL41">
        <v>1.47</v>
      </c>
      <c r="IM41">
        <v>2</v>
      </c>
      <c r="IN41">
        <v>63.6</v>
      </c>
      <c r="IO41">
        <v>35</v>
      </c>
      <c r="IP41">
        <v>1.37</v>
      </c>
      <c r="IQ41">
        <v>85.9</v>
      </c>
      <c r="IR41">
        <v>10.9</v>
      </c>
      <c r="IS41">
        <v>59.9</v>
      </c>
      <c r="IT41">
        <v>2.69</v>
      </c>
      <c r="IU41">
        <v>26.2</v>
      </c>
      <c r="IV41">
        <v>0.25</v>
      </c>
      <c r="IW41">
        <v>3.3</v>
      </c>
      <c r="IX41">
        <v>35.299999999999997</v>
      </c>
      <c r="IY41">
        <v>46.6</v>
      </c>
      <c r="IZ41">
        <v>0.2</v>
      </c>
      <c r="JA41">
        <v>2.1</v>
      </c>
      <c r="JB41">
        <v>4.07</v>
      </c>
      <c r="JC41">
        <v>-51.4</v>
      </c>
      <c r="JD41">
        <v>80.7</v>
      </c>
      <c r="JE41">
        <v>220</v>
      </c>
      <c r="JF41">
        <v>207</v>
      </c>
      <c r="JG41">
        <v>628</v>
      </c>
      <c r="JH41">
        <v>229</v>
      </c>
      <c r="JI41">
        <v>-13.9</v>
      </c>
    </row>
    <row r="42" spans="1:269" ht="15.75" x14ac:dyDescent="0.5">
      <c r="A42" t="s">
        <v>55</v>
      </c>
      <c r="B42" s="43">
        <v>225</v>
      </c>
      <c r="C42" s="10">
        <v>52</v>
      </c>
      <c r="E42" s="3" t="s">
        <v>71</v>
      </c>
      <c r="H42" s="5"/>
      <c r="I42" s="5"/>
      <c r="R42" s="5"/>
      <c r="AD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GV42">
        <v>52</v>
      </c>
      <c r="GW42" t="s">
        <v>29</v>
      </c>
      <c r="GX42">
        <v>15.7</v>
      </c>
      <c r="GY42">
        <v>3.41</v>
      </c>
      <c r="GZ42">
        <v>0.01</v>
      </c>
      <c r="HA42">
        <v>56.3</v>
      </c>
      <c r="HB42">
        <v>40.299999999999997</v>
      </c>
      <c r="HC42">
        <v>73.900000000000006</v>
      </c>
      <c r="HD42">
        <v>2.8000000000000001E-2</v>
      </c>
      <c r="HE42">
        <v>11.4</v>
      </c>
      <c r="HF42">
        <v>1.18</v>
      </c>
      <c r="HG42">
        <v>64.2</v>
      </c>
      <c r="HH42">
        <v>42.6</v>
      </c>
      <c r="HI42">
        <v>5.61</v>
      </c>
      <c r="HJ42">
        <v>47.3</v>
      </c>
      <c r="HK42">
        <v>35.5</v>
      </c>
      <c r="HL42">
        <v>9.17</v>
      </c>
      <c r="HM42">
        <v>35.5</v>
      </c>
      <c r="HN42">
        <v>28.9</v>
      </c>
      <c r="HO42">
        <v>13.3</v>
      </c>
      <c r="HP42">
        <v>50.8</v>
      </c>
      <c r="HQ42">
        <v>6.93</v>
      </c>
      <c r="HR42">
        <v>48.8</v>
      </c>
      <c r="HS42">
        <v>10.199999999999999</v>
      </c>
      <c r="HT42">
        <v>45.8</v>
      </c>
      <c r="HU42">
        <v>2.4300000000000002</v>
      </c>
      <c r="HV42">
        <v>41.9</v>
      </c>
      <c r="HW42">
        <v>9.89</v>
      </c>
      <c r="HX42">
        <v>18.600000000000001</v>
      </c>
      <c r="HY42">
        <v>8.91</v>
      </c>
      <c r="HZ42">
        <v>16.2</v>
      </c>
      <c r="IA42">
        <v>14.2</v>
      </c>
      <c r="IB42">
        <v>60.5</v>
      </c>
      <c r="IC42">
        <v>8.39</v>
      </c>
      <c r="ID42">
        <v>2.96</v>
      </c>
      <c r="IE42">
        <v>32.299999999999997</v>
      </c>
      <c r="IF42">
        <v>43</v>
      </c>
      <c r="IG42">
        <v>11</v>
      </c>
      <c r="IH42">
        <v>10.8</v>
      </c>
      <c r="II42">
        <v>13</v>
      </c>
      <c r="IJ42">
        <v>0.52</v>
      </c>
      <c r="IK42">
        <v>1.07</v>
      </c>
      <c r="IL42">
        <v>1.33</v>
      </c>
      <c r="IM42">
        <v>6.97</v>
      </c>
      <c r="IN42">
        <v>76</v>
      </c>
      <c r="IO42">
        <v>22.6</v>
      </c>
      <c r="IP42">
        <v>1.2</v>
      </c>
      <c r="IQ42">
        <v>74.7</v>
      </c>
      <c r="IR42">
        <v>16.899999999999999</v>
      </c>
      <c r="IS42">
        <v>61.7</v>
      </c>
      <c r="IT42">
        <v>6.91</v>
      </c>
      <c r="IU42">
        <v>24.4</v>
      </c>
      <c r="IV42">
        <v>0.43</v>
      </c>
      <c r="IW42">
        <v>3.53</v>
      </c>
      <c r="IX42">
        <v>53.9</v>
      </c>
      <c r="IY42">
        <v>52.3</v>
      </c>
      <c r="IZ42">
        <v>0.26</v>
      </c>
      <c r="JA42">
        <v>0.78</v>
      </c>
      <c r="JB42">
        <v>2.2400000000000002</v>
      </c>
      <c r="JC42">
        <v>24.6</v>
      </c>
      <c r="JD42">
        <v>328</v>
      </c>
      <c r="JE42">
        <v>422</v>
      </c>
      <c r="JF42">
        <v>523</v>
      </c>
      <c r="JG42">
        <v>1107</v>
      </c>
      <c r="JH42">
        <v>473</v>
      </c>
      <c r="JI42">
        <v>3.99</v>
      </c>
    </row>
    <row r="43" spans="1:269" ht="15.75" x14ac:dyDescent="0.5">
      <c r="A43" t="s">
        <v>55</v>
      </c>
      <c r="B43" s="43">
        <v>226</v>
      </c>
      <c r="C43" s="10">
        <v>29</v>
      </c>
      <c r="E43" t="s">
        <v>77</v>
      </c>
      <c r="H43" s="5"/>
      <c r="I43" s="5"/>
      <c r="R43" s="5"/>
      <c r="AD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GV43">
        <v>29</v>
      </c>
      <c r="GW43" t="s">
        <v>30</v>
      </c>
      <c r="GX43">
        <v>6.99</v>
      </c>
      <c r="GY43">
        <v>3.34</v>
      </c>
      <c r="GZ43" s="20">
        <v>8.8800000000000007E-3</v>
      </c>
      <c r="HA43">
        <v>31.8</v>
      </c>
      <c r="HB43">
        <v>64.8</v>
      </c>
      <c r="HC43">
        <v>70.900000000000006</v>
      </c>
      <c r="HD43">
        <v>6.5000000000000002E-2</v>
      </c>
      <c r="HE43">
        <v>1.98</v>
      </c>
      <c r="HF43">
        <v>8.1</v>
      </c>
      <c r="HG43">
        <v>61.1</v>
      </c>
      <c r="HH43">
        <v>40.6</v>
      </c>
      <c r="HI43">
        <v>7.27</v>
      </c>
      <c r="HJ43">
        <v>56.3</v>
      </c>
      <c r="HK43">
        <v>22.7</v>
      </c>
      <c r="HL43">
        <v>11.9</v>
      </c>
      <c r="HM43">
        <v>30.7</v>
      </c>
      <c r="HN43">
        <v>32.5</v>
      </c>
      <c r="HO43">
        <v>14.9</v>
      </c>
      <c r="HP43">
        <v>43</v>
      </c>
      <c r="HQ43">
        <v>9.6199999999999992</v>
      </c>
      <c r="HR43">
        <v>56.6</v>
      </c>
      <c r="HS43">
        <v>4.93</v>
      </c>
      <c r="HT43">
        <v>39.6</v>
      </c>
      <c r="HU43">
        <v>3.57</v>
      </c>
      <c r="HV43">
        <v>50</v>
      </c>
      <c r="HW43">
        <v>6.85</v>
      </c>
      <c r="HX43">
        <v>19.8</v>
      </c>
      <c r="HY43">
        <v>3.81</v>
      </c>
      <c r="HZ43">
        <v>11</v>
      </c>
      <c r="IA43">
        <v>13.5</v>
      </c>
      <c r="IB43">
        <v>71.599999999999994</v>
      </c>
      <c r="IC43">
        <v>19</v>
      </c>
      <c r="ID43">
        <v>1.83</v>
      </c>
      <c r="IE43">
        <v>27.9</v>
      </c>
      <c r="IF43">
        <v>55.6</v>
      </c>
      <c r="IG43">
        <v>12</v>
      </c>
      <c r="IH43">
        <v>8.0500000000000007</v>
      </c>
      <c r="II43">
        <v>16.399999999999999</v>
      </c>
      <c r="IJ43">
        <v>0.56999999999999995</v>
      </c>
      <c r="IK43">
        <v>1.32</v>
      </c>
      <c r="IL43">
        <v>0.92</v>
      </c>
      <c r="IM43">
        <v>1.9</v>
      </c>
      <c r="IN43">
        <v>52.2</v>
      </c>
      <c r="IO43">
        <v>45.6</v>
      </c>
      <c r="IP43">
        <v>2.0499999999999998</v>
      </c>
      <c r="IQ43">
        <v>81.099999999999994</v>
      </c>
      <c r="IR43">
        <v>16.5</v>
      </c>
      <c r="IS43">
        <v>58.8</v>
      </c>
      <c r="IT43">
        <v>3.98</v>
      </c>
      <c r="IU43">
        <v>27</v>
      </c>
      <c r="IV43">
        <v>0.25</v>
      </c>
      <c r="IW43">
        <v>4.45</v>
      </c>
      <c r="IX43">
        <v>35.9</v>
      </c>
      <c r="IY43">
        <v>47.6</v>
      </c>
      <c r="IZ43">
        <v>0.19</v>
      </c>
      <c r="JA43">
        <v>3.57</v>
      </c>
      <c r="JB43">
        <v>5.68</v>
      </c>
      <c r="JC43">
        <v>-52.7</v>
      </c>
      <c r="JD43">
        <v>195</v>
      </c>
      <c r="JE43">
        <v>291</v>
      </c>
      <c r="JF43">
        <v>214</v>
      </c>
      <c r="JG43">
        <v>365</v>
      </c>
      <c r="JH43">
        <v>176</v>
      </c>
      <c r="JI43">
        <v>2.41</v>
      </c>
    </row>
    <row r="44" spans="1:269" ht="15.75" x14ac:dyDescent="0.5">
      <c r="A44" t="s">
        <v>55</v>
      </c>
      <c r="B44" s="43">
        <v>227</v>
      </c>
      <c r="C44" s="10">
        <v>30</v>
      </c>
      <c r="E44" t="s">
        <v>77</v>
      </c>
      <c r="H44" s="5"/>
      <c r="I44" s="5"/>
      <c r="R44" s="5"/>
      <c r="AD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GV44">
        <v>30</v>
      </c>
      <c r="GW44" s="3" t="s">
        <v>31</v>
      </c>
      <c r="GX44" s="3">
        <v>18.2</v>
      </c>
      <c r="GY44" s="3">
        <v>2.27</v>
      </c>
      <c r="GZ44" s="3">
        <v>0.26</v>
      </c>
      <c r="HA44" s="3">
        <v>14.8</v>
      </c>
      <c r="HB44" s="3">
        <v>82.7</v>
      </c>
      <c r="HC44" s="3">
        <v>67.7</v>
      </c>
      <c r="HD44" s="3">
        <v>6.9000000000000006E-2</v>
      </c>
      <c r="HE44" s="3">
        <v>1.39</v>
      </c>
      <c r="HF44" s="3">
        <v>5.87</v>
      </c>
      <c r="HG44" s="3">
        <v>60.3</v>
      </c>
      <c r="HH44" s="3">
        <v>33.1</v>
      </c>
      <c r="HI44" s="3">
        <v>4.6900000000000004</v>
      </c>
      <c r="HJ44" s="3">
        <v>55.3</v>
      </c>
      <c r="HK44" s="3">
        <v>11.5</v>
      </c>
      <c r="HL44" s="3">
        <v>23.2</v>
      </c>
      <c r="HM44" s="3">
        <v>32.6</v>
      </c>
      <c r="HN44" s="3">
        <v>30.2</v>
      </c>
      <c r="HO44" s="3">
        <v>16.2</v>
      </c>
      <c r="HP44" s="3">
        <v>42</v>
      </c>
      <c r="HQ44" s="3">
        <v>11.6</v>
      </c>
      <c r="HR44" s="3">
        <v>51</v>
      </c>
      <c r="HS44" s="3">
        <v>5.77</v>
      </c>
      <c r="HT44" s="3">
        <v>32.9</v>
      </c>
      <c r="HU44" s="3">
        <v>9.25</v>
      </c>
      <c r="HV44" s="3">
        <v>40.6</v>
      </c>
      <c r="HW44" s="3">
        <v>17.2</v>
      </c>
      <c r="HX44" s="3">
        <v>25.7</v>
      </c>
      <c r="HY44" s="3">
        <v>3.67</v>
      </c>
      <c r="HZ44" s="3">
        <v>15.9</v>
      </c>
      <c r="IA44" s="3">
        <v>56</v>
      </c>
      <c r="IB44" s="3">
        <v>21.6</v>
      </c>
      <c r="IC44" s="3">
        <v>6.4</v>
      </c>
      <c r="ID44" s="3">
        <v>4.75</v>
      </c>
      <c r="IE44" s="3">
        <v>23.5</v>
      </c>
      <c r="IF44" s="3">
        <v>53.5</v>
      </c>
      <c r="IG44" s="3">
        <v>12.4</v>
      </c>
      <c r="IH44" s="3">
        <v>15</v>
      </c>
      <c r="II44" s="3">
        <v>20.100000000000001</v>
      </c>
      <c r="IJ44" s="3">
        <v>1.03</v>
      </c>
      <c r="IK44" s="3">
        <v>3.48</v>
      </c>
      <c r="IL44" s="3">
        <v>1.84</v>
      </c>
      <c r="IM44" s="3">
        <v>4.17</v>
      </c>
      <c r="IN44" s="3">
        <v>67.400000000000006</v>
      </c>
      <c r="IO44" s="3">
        <v>26.1</v>
      </c>
      <c r="IP44" s="3">
        <v>5.72</v>
      </c>
      <c r="IQ44" s="3">
        <v>80.3</v>
      </c>
      <c r="IR44" s="3">
        <v>13.4</v>
      </c>
      <c r="IS44" s="3">
        <v>40.9</v>
      </c>
      <c r="IT44" s="3">
        <v>13.7</v>
      </c>
      <c r="IU44" s="3">
        <v>41.7</v>
      </c>
      <c r="IV44" s="3">
        <v>4.57</v>
      </c>
      <c r="IW44" s="3">
        <v>10.1</v>
      </c>
      <c r="IX44" s="3">
        <v>63.7</v>
      </c>
      <c r="IY44" s="3">
        <v>68.599999999999994</v>
      </c>
      <c r="IZ44" s="3">
        <v>1.91</v>
      </c>
      <c r="JA44" s="3">
        <v>2.9</v>
      </c>
      <c r="JB44" s="3">
        <v>24.2</v>
      </c>
      <c r="JC44" s="3">
        <v>-54</v>
      </c>
      <c r="JD44" s="3">
        <v>232</v>
      </c>
      <c r="JE44" s="3">
        <v>201</v>
      </c>
      <c r="JF44" s="3">
        <v>233</v>
      </c>
      <c r="JG44" s="3">
        <v>480</v>
      </c>
      <c r="JH44" s="3">
        <v>123</v>
      </c>
      <c r="JI44" s="3">
        <v>-8.06</v>
      </c>
    </row>
    <row r="45" spans="1:269" ht="15.75" x14ac:dyDescent="0.5">
      <c r="A45" t="s">
        <v>55</v>
      </c>
      <c r="B45" s="43">
        <v>228</v>
      </c>
      <c r="C45" s="10">
        <v>24</v>
      </c>
      <c r="E45" t="s">
        <v>77</v>
      </c>
      <c r="H45" s="5"/>
      <c r="I45" s="5"/>
      <c r="R45" s="5"/>
      <c r="AD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GV45">
        <v>24</v>
      </c>
      <c r="GW45" t="s">
        <v>32</v>
      </c>
      <c r="GX45">
        <v>7.25</v>
      </c>
      <c r="GY45">
        <v>4.32</v>
      </c>
      <c r="GZ45">
        <v>0.26</v>
      </c>
      <c r="HA45">
        <v>31.6</v>
      </c>
      <c r="HB45">
        <v>63.8</v>
      </c>
      <c r="HC45">
        <v>83.4</v>
      </c>
      <c r="HD45" s="20">
        <v>4.0299999999999997E-3</v>
      </c>
      <c r="HE45">
        <v>1.97</v>
      </c>
      <c r="HF45">
        <v>4.43</v>
      </c>
      <c r="HG45">
        <v>77.3</v>
      </c>
      <c r="HH45">
        <v>42.3</v>
      </c>
      <c r="HI45">
        <v>6.33</v>
      </c>
      <c r="HJ45">
        <v>38.6</v>
      </c>
      <c r="HK45">
        <v>30.9</v>
      </c>
      <c r="HL45">
        <v>23.7</v>
      </c>
      <c r="HM45">
        <v>44.5</v>
      </c>
      <c r="HN45">
        <v>70.900000000000006</v>
      </c>
      <c r="HO45">
        <v>1.02</v>
      </c>
      <c r="HP45">
        <v>24.5</v>
      </c>
      <c r="HQ45">
        <v>3.62</v>
      </c>
      <c r="HR45">
        <v>33.700000000000003</v>
      </c>
      <c r="HS45">
        <v>9.59</v>
      </c>
      <c r="HT45">
        <v>50.8</v>
      </c>
      <c r="HU45">
        <v>0.99</v>
      </c>
      <c r="HV45">
        <v>44.7</v>
      </c>
      <c r="HW45">
        <v>3.52</v>
      </c>
      <c r="HX45">
        <v>33.799999999999997</v>
      </c>
      <c r="HY45">
        <v>5.56</v>
      </c>
      <c r="HZ45">
        <v>26.3</v>
      </c>
      <c r="IA45">
        <v>35.9</v>
      </c>
      <c r="IB45">
        <v>32.1</v>
      </c>
      <c r="IC45">
        <v>7.03</v>
      </c>
      <c r="ID45">
        <v>3.47</v>
      </c>
      <c r="IE45">
        <v>42.7</v>
      </c>
      <c r="IF45">
        <v>51.4</v>
      </c>
      <c r="IG45">
        <v>0.78</v>
      </c>
      <c r="IH45">
        <v>10.1</v>
      </c>
      <c r="II45">
        <v>26.8</v>
      </c>
      <c r="IJ45">
        <v>0.54</v>
      </c>
      <c r="IK45">
        <v>4.0599999999999996</v>
      </c>
      <c r="IL45">
        <v>2.33</v>
      </c>
      <c r="IM45">
        <v>19.100000000000001</v>
      </c>
      <c r="IN45">
        <v>73.900000000000006</v>
      </c>
      <c r="IO45">
        <v>0.26</v>
      </c>
      <c r="IP45">
        <v>4.72</v>
      </c>
      <c r="IQ45">
        <v>61.5</v>
      </c>
      <c r="IR45">
        <v>14.4</v>
      </c>
      <c r="IS45">
        <v>50.9</v>
      </c>
      <c r="IT45">
        <v>4.37</v>
      </c>
      <c r="IU45">
        <v>38.4</v>
      </c>
      <c r="IV45">
        <v>0.71</v>
      </c>
      <c r="IW45">
        <v>6.88</v>
      </c>
      <c r="IX45">
        <v>56.1</v>
      </c>
      <c r="IY45">
        <v>81.5</v>
      </c>
      <c r="IZ45">
        <v>0.26</v>
      </c>
      <c r="JA45">
        <v>1.46</v>
      </c>
      <c r="JB45">
        <v>45.8</v>
      </c>
      <c r="JC45">
        <v>-120</v>
      </c>
      <c r="JD45">
        <v>155</v>
      </c>
      <c r="JE45">
        <v>210</v>
      </c>
      <c r="JF45">
        <v>306</v>
      </c>
      <c r="JG45">
        <v>288</v>
      </c>
      <c r="JH45">
        <v>26.4</v>
      </c>
      <c r="JI45">
        <v>14.9</v>
      </c>
    </row>
    <row r="46" spans="1:269" ht="15.75" x14ac:dyDescent="0.5">
      <c r="A46" t="s">
        <v>55</v>
      </c>
      <c r="B46" s="43">
        <v>229</v>
      </c>
      <c r="C46" s="10">
        <v>29</v>
      </c>
      <c r="E46" t="s">
        <v>77</v>
      </c>
      <c r="H46" s="5"/>
      <c r="I46" s="5"/>
      <c r="R46" s="5"/>
      <c r="AD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GV46">
        <v>29</v>
      </c>
      <c r="GW46" t="s">
        <v>33</v>
      </c>
      <c r="GX46">
        <v>13.7</v>
      </c>
      <c r="GY46">
        <v>3.38</v>
      </c>
      <c r="GZ46">
        <v>0.21</v>
      </c>
      <c r="HA46">
        <v>23.6</v>
      </c>
      <c r="HB46">
        <v>72.8</v>
      </c>
      <c r="HC46">
        <v>57.2</v>
      </c>
      <c r="HD46">
        <v>2.1999999999999999E-2</v>
      </c>
      <c r="HE46">
        <v>4.6399999999999997</v>
      </c>
      <c r="HF46">
        <v>5.99</v>
      </c>
      <c r="HG46">
        <v>48.5</v>
      </c>
      <c r="HH46">
        <v>29.9</v>
      </c>
      <c r="HI46">
        <v>9.58</v>
      </c>
      <c r="HJ46">
        <v>61.7</v>
      </c>
      <c r="HK46">
        <v>17.7</v>
      </c>
      <c r="HL46">
        <v>6.52</v>
      </c>
      <c r="HM46">
        <v>18.3</v>
      </c>
      <c r="HN46">
        <v>30.8</v>
      </c>
      <c r="HO46">
        <v>20</v>
      </c>
      <c r="HP46">
        <v>36.200000000000003</v>
      </c>
      <c r="HQ46">
        <v>13</v>
      </c>
      <c r="HR46">
        <v>65</v>
      </c>
      <c r="HS46">
        <v>7.05</v>
      </c>
      <c r="HT46">
        <v>36.299999999999997</v>
      </c>
      <c r="HU46">
        <v>6.6</v>
      </c>
      <c r="HV46">
        <v>46.1</v>
      </c>
      <c r="HW46">
        <v>11</v>
      </c>
      <c r="HX46">
        <v>17.3</v>
      </c>
      <c r="HY46">
        <v>4.0999999999999996</v>
      </c>
      <c r="HZ46">
        <v>11.1</v>
      </c>
      <c r="IA46">
        <v>24.3</v>
      </c>
      <c r="IB46">
        <v>60.4</v>
      </c>
      <c r="IC46">
        <v>26.9</v>
      </c>
      <c r="ID46">
        <v>4.68</v>
      </c>
      <c r="IE46">
        <v>11.6</v>
      </c>
      <c r="IF46">
        <v>77.5</v>
      </c>
      <c r="IG46">
        <v>3.13</v>
      </c>
      <c r="IH46">
        <v>4.37</v>
      </c>
      <c r="II46">
        <v>30.8</v>
      </c>
      <c r="IJ46">
        <v>0.54</v>
      </c>
      <c r="IK46">
        <v>1.51</v>
      </c>
      <c r="IL46">
        <v>16.600000000000001</v>
      </c>
      <c r="IM46">
        <v>6.67</v>
      </c>
      <c r="IN46">
        <v>93.7</v>
      </c>
      <c r="IO46">
        <v>4.54</v>
      </c>
      <c r="IP46">
        <v>1.65</v>
      </c>
      <c r="IQ46">
        <v>76.099999999999994</v>
      </c>
      <c r="IR46">
        <v>3.62</v>
      </c>
      <c r="IS46">
        <v>57.1</v>
      </c>
      <c r="IT46">
        <v>3.74</v>
      </c>
      <c r="IU46">
        <v>36</v>
      </c>
      <c r="IV46">
        <v>1.04</v>
      </c>
      <c r="IW46">
        <v>21.3</v>
      </c>
      <c r="IX46">
        <v>54.7</v>
      </c>
      <c r="IY46">
        <v>69.3</v>
      </c>
      <c r="IZ46">
        <v>0.31</v>
      </c>
      <c r="JA46">
        <v>4.8</v>
      </c>
      <c r="JB46">
        <v>9.6</v>
      </c>
      <c r="JC46">
        <v>107</v>
      </c>
      <c r="JD46">
        <v>482</v>
      </c>
      <c r="JE46">
        <v>719</v>
      </c>
      <c r="JF46">
        <v>704</v>
      </c>
      <c r="JG46">
        <v>904</v>
      </c>
      <c r="JH46">
        <v>301</v>
      </c>
      <c r="JI46">
        <v>61.6</v>
      </c>
    </row>
    <row r="47" spans="1:269" ht="15.75" x14ac:dyDescent="0.5">
      <c r="A47" t="s">
        <v>55</v>
      </c>
      <c r="B47" s="43">
        <v>230</v>
      </c>
      <c r="C47" s="10">
        <v>31</v>
      </c>
      <c r="E47" t="s">
        <v>77</v>
      </c>
      <c r="H47" s="5"/>
      <c r="I47" s="5"/>
      <c r="R47" s="5"/>
      <c r="AD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GV47" s="26">
        <v>31</v>
      </c>
      <c r="GW47" s="3" t="s">
        <v>34</v>
      </c>
      <c r="GX47" s="3">
        <v>8.25</v>
      </c>
      <c r="GY47" s="3">
        <v>10.4</v>
      </c>
      <c r="GZ47" s="3">
        <v>0.24</v>
      </c>
      <c r="HA47" s="3">
        <v>32.1</v>
      </c>
      <c r="HB47" s="3">
        <v>57.1</v>
      </c>
      <c r="HC47" s="3">
        <v>67.8</v>
      </c>
      <c r="HD47" s="3">
        <v>7.6999999999999999E-2</v>
      </c>
      <c r="HE47" s="3">
        <v>4.4800000000000004</v>
      </c>
      <c r="HF47" s="3">
        <v>5.57</v>
      </c>
      <c r="HG47" s="3">
        <v>59</v>
      </c>
      <c r="HH47" s="3">
        <v>34.6</v>
      </c>
      <c r="HI47" s="3">
        <v>4.76</v>
      </c>
      <c r="HJ47" s="3">
        <v>54.4</v>
      </c>
      <c r="HK47" s="3">
        <v>23.4</v>
      </c>
      <c r="HL47" s="3">
        <v>12.5</v>
      </c>
      <c r="HM47" s="3">
        <v>30.7</v>
      </c>
      <c r="HN47" s="3">
        <v>27.2</v>
      </c>
      <c r="HO47" s="3">
        <v>21.6</v>
      </c>
      <c r="HP47" s="3">
        <v>33</v>
      </c>
      <c r="HQ47" s="3">
        <v>18.2</v>
      </c>
      <c r="HR47" s="3">
        <v>57.8</v>
      </c>
      <c r="HS47" s="3">
        <v>8.58</v>
      </c>
      <c r="HT47" s="3">
        <v>34.9</v>
      </c>
      <c r="HU47" s="3">
        <v>8.7799999999999994</v>
      </c>
      <c r="HV47" s="3">
        <v>25.1</v>
      </c>
      <c r="HW47" s="3">
        <v>31.2</v>
      </c>
      <c r="HX47" s="3">
        <v>23.5</v>
      </c>
      <c r="HY47" s="3">
        <v>5.34</v>
      </c>
      <c r="HZ47" s="3">
        <v>15.9</v>
      </c>
      <c r="IA47" s="3">
        <v>12.3</v>
      </c>
      <c r="IB47" s="3">
        <v>63.3</v>
      </c>
      <c r="IC47" s="3">
        <v>18.2</v>
      </c>
      <c r="ID47" s="3">
        <v>2.33</v>
      </c>
      <c r="IE47" s="3">
        <v>23.5</v>
      </c>
      <c r="IF47" s="3">
        <v>65.7</v>
      </c>
      <c r="IG47" s="3">
        <v>3.74</v>
      </c>
      <c r="IH47" s="3">
        <v>25.3</v>
      </c>
      <c r="II47" s="3">
        <v>23.9</v>
      </c>
      <c r="IJ47" s="3">
        <v>1.03</v>
      </c>
      <c r="IK47" s="3">
        <v>1.85</v>
      </c>
      <c r="IL47" s="3">
        <v>3.24</v>
      </c>
      <c r="IM47" s="3">
        <v>13</v>
      </c>
      <c r="IN47" s="3">
        <v>67.599999999999994</v>
      </c>
      <c r="IO47" s="3">
        <v>29.5</v>
      </c>
      <c r="IP47" s="3">
        <v>2.84</v>
      </c>
      <c r="IQ47" s="3">
        <v>70.2</v>
      </c>
      <c r="IR47" s="3">
        <v>15.2</v>
      </c>
      <c r="IS47" s="3">
        <v>43.2</v>
      </c>
      <c r="IT47" s="3">
        <v>3.09</v>
      </c>
      <c r="IU47" s="3">
        <v>51</v>
      </c>
      <c r="IV47" s="3">
        <v>0.87</v>
      </c>
      <c r="IW47" s="3">
        <v>15.2</v>
      </c>
      <c r="IX47" s="3">
        <v>69.7</v>
      </c>
      <c r="IY47" s="3">
        <v>60</v>
      </c>
      <c r="IZ47" s="3">
        <v>1.74</v>
      </c>
      <c r="JA47" s="3">
        <v>5.76</v>
      </c>
      <c r="JB47" s="3">
        <v>11.1</v>
      </c>
      <c r="JC47" s="3">
        <v>-78.5</v>
      </c>
      <c r="JD47" s="3">
        <v>153</v>
      </c>
      <c r="JE47" s="3">
        <v>201</v>
      </c>
      <c r="JF47" s="3">
        <v>383</v>
      </c>
      <c r="JG47" s="3">
        <v>1305</v>
      </c>
      <c r="JH47" s="3">
        <v>392</v>
      </c>
      <c r="JI47" s="3">
        <v>-18.600000000000001</v>
      </c>
    </row>
    <row r="48" spans="1:269" ht="15.75" x14ac:dyDescent="0.5">
      <c r="A48" t="s">
        <v>55</v>
      </c>
      <c r="B48" s="43">
        <v>231</v>
      </c>
      <c r="C48" s="10">
        <v>41</v>
      </c>
      <c r="E48" s="3" t="s">
        <v>71</v>
      </c>
      <c r="H48" s="5"/>
      <c r="I48" s="5"/>
      <c r="R48" s="5"/>
      <c r="AD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GV48">
        <v>41</v>
      </c>
      <c r="GW48" s="3" t="s">
        <v>35</v>
      </c>
      <c r="GX48" s="3">
        <v>2.56</v>
      </c>
      <c r="GY48" s="3">
        <v>17.899999999999999</v>
      </c>
      <c r="GZ48" s="3">
        <v>0.14000000000000001</v>
      </c>
      <c r="HA48" s="3">
        <v>38.5</v>
      </c>
      <c r="HB48" s="3">
        <v>41.7</v>
      </c>
      <c r="HC48" s="3">
        <v>86.1</v>
      </c>
      <c r="HD48" s="3">
        <v>8.4000000000000005E-2</v>
      </c>
      <c r="HE48" s="3">
        <v>1.1299999999999999</v>
      </c>
      <c r="HF48" s="3">
        <v>1.42</v>
      </c>
      <c r="HG48" s="3">
        <v>83.4</v>
      </c>
      <c r="HH48" s="3">
        <v>58.1</v>
      </c>
      <c r="HI48" s="3">
        <v>5.55</v>
      </c>
      <c r="HJ48" s="3">
        <v>68.8</v>
      </c>
      <c r="HK48" s="3">
        <v>16.2</v>
      </c>
      <c r="HL48" s="3">
        <v>3.91</v>
      </c>
      <c r="HM48" s="3">
        <v>18.899999999999999</v>
      </c>
      <c r="HN48" s="3">
        <v>19.600000000000001</v>
      </c>
      <c r="HO48" s="3">
        <v>17.8</v>
      </c>
      <c r="HP48" s="3">
        <v>51.1</v>
      </c>
      <c r="HQ48" s="3">
        <v>11.5</v>
      </c>
      <c r="HR48" s="3">
        <v>71.400000000000006</v>
      </c>
      <c r="HS48" s="3">
        <v>4.74</v>
      </c>
      <c r="HT48" s="3">
        <v>12.8</v>
      </c>
      <c r="HU48" s="3">
        <v>15.8</v>
      </c>
      <c r="HV48" s="3">
        <v>52.3</v>
      </c>
      <c r="HW48" s="3">
        <v>19.100000000000001</v>
      </c>
      <c r="HX48" s="3">
        <v>24</v>
      </c>
      <c r="HY48" s="3">
        <v>3.48</v>
      </c>
      <c r="HZ48" s="3">
        <v>4.2699999999999996</v>
      </c>
      <c r="IA48" s="3">
        <v>27.5</v>
      </c>
      <c r="IB48" s="3">
        <v>62</v>
      </c>
      <c r="IC48" s="3">
        <v>9.33</v>
      </c>
      <c r="ID48" s="3">
        <v>2.36</v>
      </c>
      <c r="IE48" s="3">
        <v>21.7</v>
      </c>
      <c r="IF48" s="3">
        <v>67.599999999999994</v>
      </c>
      <c r="IG48" s="3">
        <v>4.28</v>
      </c>
      <c r="IH48" s="3">
        <v>11.2</v>
      </c>
      <c r="II48" s="3">
        <v>4.93</v>
      </c>
      <c r="IJ48" s="3">
        <v>0.27</v>
      </c>
      <c r="IK48" s="3">
        <v>0.23</v>
      </c>
      <c r="IL48" s="3">
        <v>2.4300000000000002</v>
      </c>
      <c r="IM48" s="3">
        <v>6.94</v>
      </c>
      <c r="IN48" s="3">
        <v>59.7</v>
      </c>
      <c r="IO48" s="3">
        <v>39.700000000000003</v>
      </c>
      <c r="IP48" s="3">
        <v>0.55000000000000004</v>
      </c>
      <c r="IQ48" s="3">
        <v>62.6</v>
      </c>
      <c r="IR48" s="3">
        <v>29.2</v>
      </c>
      <c r="IS48" s="3">
        <v>69.3</v>
      </c>
      <c r="IT48" s="3">
        <v>5.34</v>
      </c>
      <c r="IU48" s="3">
        <v>17.2</v>
      </c>
      <c r="IV48" s="3">
        <v>0.55000000000000004</v>
      </c>
      <c r="IW48" s="3">
        <v>12</v>
      </c>
      <c r="IX48" s="3">
        <v>67.8</v>
      </c>
      <c r="IY48" s="3">
        <v>68.099999999999994</v>
      </c>
      <c r="IZ48" s="3">
        <v>0.61</v>
      </c>
      <c r="JA48" s="3">
        <v>2.8</v>
      </c>
      <c r="JB48" s="3">
        <v>7.62</v>
      </c>
      <c r="JC48" s="3">
        <v>-34.5</v>
      </c>
      <c r="JD48" s="3">
        <v>339</v>
      </c>
      <c r="JE48" s="3">
        <v>518</v>
      </c>
      <c r="JF48" s="3">
        <v>496</v>
      </c>
      <c r="JG48" s="3">
        <v>1407</v>
      </c>
      <c r="JH48" s="3">
        <v>276</v>
      </c>
      <c r="JI48" s="3">
        <v>-8.9600000000000009</v>
      </c>
    </row>
    <row r="49" spans="1:269" ht="15.75" x14ac:dyDescent="0.5">
      <c r="A49" t="s">
        <v>55</v>
      </c>
      <c r="B49" s="43">
        <v>247</v>
      </c>
      <c r="C49" s="6">
        <v>35.969863013698628</v>
      </c>
      <c r="E49" t="s">
        <v>77</v>
      </c>
      <c r="H49" s="5"/>
      <c r="I49" s="5"/>
      <c r="R49" s="5"/>
      <c r="AD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GV49" s="5">
        <v>35.969863013698628</v>
      </c>
      <c r="GW49" s="4" t="s">
        <v>51</v>
      </c>
      <c r="GX49" s="27">
        <v>17.7</v>
      </c>
      <c r="GY49" s="27">
        <v>1.35</v>
      </c>
      <c r="GZ49">
        <v>0.01</v>
      </c>
      <c r="HA49" s="27">
        <v>39.799999999999997</v>
      </c>
      <c r="HB49" s="27">
        <v>58.9</v>
      </c>
      <c r="HC49" s="27">
        <v>71.7</v>
      </c>
      <c r="HD49" s="27">
        <v>1.9E-2</v>
      </c>
      <c r="HE49" s="27">
        <v>2.19</v>
      </c>
      <c r="HF49" s="27">
        <v>11.2</v>
      </c>
      <c r="HG49" s="27">
        <v>58</v>
      </c>
      <c r="HH49" s="27">
        <v>27.2</v>
      </c>
      <c r="HI49" s="27">
        <v>7.92</v>
      </c>
      <c r="HJ49" s="27">
        <v>52.1</v>
      </c>
      <c r="HK49" s="27">
        <v>20.9</v>
      </c>
      <c r="HL49" s="27">
        <v>13.8</v>
      </c>
      <c r="HM49" s="27">
        <v>30.3</v>
      </c>
      <c r="HN49" s="27">
        <v>59.8</v>
      </c>
      <c r="HO49" s="27">
        <v>5.51</v>
      </c>
      <c r="HP49" s="27">
        <v>25.7</v>
      </c>
      <c r="HQ49" s="27">
        <v>8.9499999999999993</v>
      </c>
      <c r="HR49" s="27">
        <v>52.1</v>
      </c>
      <c r="HS49" s="27">
        <v>7.26</v>
      </c>
      <c r="HT49" s="27">
        <v>41</v>
      </c>
      <c r="HU49" s="27">
        <v>2.06</v>
      </c>
      <c r="HV49" s="27">
        <v>51.2</v>
      </c>
      <c r="HW49" s="27">
        <v>5.74</v>
      </c>
      <c r="HX49" s="27">
        <v>30.2</v>
      </c>
      <c r="HY49" s="27">
        <v>1.86</v>
      </c>
      <c r="HZ49" s="27">
        <v>7.31</v>
      </c>
      <c r="IA49" s="27">
        <v>53</v>
      </c>
      <c r="IB49" s="27">
        <v>37.799999999999997</v>
      </c>
      <c r="IC49" s="27">
        <v>9.26</v>
      </c>
      <c r="ID49" s="27">
        <v>3.87</v>
      </c>
      <c r="IE49" s="27">
        <v>24.4</v>
      </c>
      <c r="IF49" s="27">
        <v>58.9</v>
      </c>
      <c r="IG49" s="27">
        <v>11.8</v>
      </c>
      <c r="IH49" s="27">
        <v>19.2</v>
      </c>
      <c r="II49" s="27">
        <v>28.6</v>
      </c>
      <c r="IJ49" s="27">
        <v>1.32</v>
      </c>
      <c r="IK49" s="27">
        <v>1.73</v>
      </c>
      <c r="IL49" s="27">
        <v>3.66</v>
      </c>
      <c r="IM49" s="27">
        <v>3.12</v>
      </c>
      <c r="IN49" s="27">
        <v>51.7</v>
      </c>
      <c r="IO49" s="27">
        <v>46.5</v>
      </c>
      <c r="IP49" s="27">
        <v>1.75</v>
      </c>
      <c r="IQ49" s="27">
        <v>66.5</v>
      </c>
      <c r="IR49" s="27">
        <v>30.1</v>
      </c>
      <c r="IS49" s="27">
        <v>42.8</v>
      </c>
      <c r="IU49" s="27">
        <v>47.4</v>
      </c>
      <c r="IV49" s="27">
        <v>1.1100000000000001</v>
      </c>
      <c r="IW49" s="27">
        <v>7.42</v>
      </c>
      <c r="IX49" s="27">
        <v>57.3</v>
      </c>
      <c r="IY49" s="27">
        <v>84.5</v>
      </c>
      <c r="IZ49" s="27">
        <v>0.16</v>
      </c>
      <c r="JA49" s="27">
        <v>1.82</v>
      </c>
      <c r="JB49" s="27">
        <v>32.700000000000003</v>
      </c>
      <c r="JC49" s="27">
        <v>-19.5</v>
      </c>
      <c r="JD49" s="27">
        <v>440</v>
      </c>
      <c r="JE49" s="27">
        <v>630</v>
      </c>
      <c r="JF49" s="27">
        <v>735</v>
      </c>
      <c r="JG49" s="27">
        <v>507</v>
      </c>
      <c r="JH49" s="27">
        <v>212</v>
      </c>
      <c r="JI49" s="27">
        <v>101</v>
      </c>
    </row>
    <row r="50" spans="1:269" ht="15.75" x14ac:dyDescent="0.5">
      <c r="A50" t="s">
        <v>55</v>
      </c>
      <c r="B50" s="43">
        <v>232</v>
      </c>
      <c r="C50" s="10">
        <v>57</v>
      </c>
      <c r="E50" t="s">
        <v>77</v>
      </c>
      <c r="H50" s="5"/>
      <c r="I50" s="5"/>
      <c r="R50" s="5"/>
      <c r="AD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GV50">
        <v>57</v>
      </c>
      <c r="GW50" s="3" t="s">
        <v>36</v>
      </c>
      <c r="GX50" s="3">
        <v>11.1</v>
      </c>
      <c r="GY50" s="3">
        <v>6.61</v>
      </c>
      <c r="GZ50" s="3">
        <v>0.31</v>
      </c>
      <c r="HA50" s="3">
        <v>42.4</v>
      </c>
      <c r="HB50" s="3">
        <v>50.6</v>
      </c>
      <c r="HC50" s="3">
        <v>65.8</v>
      </c>
      <c r="HD50" s="3">
        <v>1.7000000000000001E-2</v>
      </c>
      <c r="HE50" s="3">
        <v>0.28999999999999998</v>
      </c>
      <c r="HF50" s="3">
        <v>1.29</v>
      </c>
      <c r="HG50" s="3">
        <v>64.099999999999994</v>
      </c>
      <c r="HH50" s="3">
        <v>31.5</v>
      </c>
      <c r="HI50" s="3">
        <v>4.7300000000000004</v>
      </c>
      <c r="HJ50" s="3">
        <v>45.7</v>
      </c>
      <c r="HK50" s="3">
        <v>18.899999999999999</v>
      </c>
      <c r="HL50" s="3">
        <v>27.2</v>
      </c>
      <c r="HM50" s="3">
        <v>42</v>
      </c>
      <c r="HN50" s="3">
        <v>65.8</v>
      </c>
      <c r="HO50" s="3">
        <v>4.12</v>
      </c>
      <c r="HP50" s="3">
        <v>15.7</v>
      </c>
      <c r="HQ50" s="3">
        <v>14.4</v>
      </c>
      <c r="HR50" s="3">
        <v>45.8</v>
      </c>
      <c r="HS50" s="3">
        <v>5.94</v>
      </c>
      <c r="HT50" s="3">
        <v>53.1</v>
      </c>
      <c r="HU50" s="3">
        <v>3.5</v>
      </c>
      <c r="HV50" s="3">
        <v>23</v>
      </c>
      <c r="HW50" s="3">
        <v>20.399999999999999</v>
      </c>
      <c r="HX50" s="3">
        <v>31.3</v>
      </c>
      <c r="HY50" s="3">
        <v>4.5999999999999996</v>
      </c>
      <c r="HZ50" s="3">
        <v>34.9</v>
      </c>
      <c r="IA50" s="3">
        <v>52.9</v>
      </c>
      <c r="IB50" s="3">
        <v>6.51</v>
      </c>
      <c r="IC50" s="3">
        <v>7.97</v>
      </c>
      <c r="ID50" s="3">
        <v>6.95</v>
      </c>
      <c r="IE50" s="3">
        <v>49.2</v>
      </c>
      <c r="IF50" s="3">
        <v>35.700000000000003</v>
      </c>
      <c r="IG50" s="3">
        <v>1.77</v>
      </c>
      <c r="IH50" s="3">
        <v>17.7</v>
      </c>
      <c r="II50" s="3">
        <v>31.1</v>
      </c>
      <c r="IJ50" s="3">
        <v>1.6</v>
      </c>
      <c r="IK50" s="3">
        <v>5.05</v>
      </c>
      <c r="IL50" s="3">
        <v>3.06</v>
      </c>
      <c r="IM50" s="3">
        <v>31.5</v>
      </c>
      <c r="IN50" s="3">
        <v>51.5</v>
      </c>
      <c r="IO50" s="3">
        <v>40.6</v>
      </c>
      <c r="IP50" s="3">
        <v>0.6</v>
      </c>
      <c r="IQ50" s="3">
        <v>40.200000000000003</v>
      </c>
      <c r="IR50" s="3">
        <v>23.9</v>
      </c>
      <c r="IS50" s="3">
        <v>41.9</v>
      </c>
      <c r="IT50" s="3">
        <v>3.48</v>
      </c>
      <c r="IU50" s="3">
        <v>50.1</v>
      </c>
      <c r="IV50" s="3">
        <v>3.02</v>
      </c>
      <c r="IW50" s="3">
        <v>11.9</v>
      </c>
      <c r="IX50" s="3">
        <v>69.8</v>
      </c>
      <c r="IY50" s="3">
        <v>48.7</v>
      </c>
      <c r="IZ50" s="3">
        <v>2.25</v>
      </c>
      <c r="JA50" s="3">
        <v>3.47</v>
      </c>
      <c r="JB50" s="3">
        <v>24.8</v>
      </c>
      <c r="JC50" s="3">
        <v>-59.9</v>
      </c>
      <c r="JD50" s="3">
        <v>111</v>
      </c>
      <c r="JE50" s="3">
        <v>99.3</v>
      </c>
      <c r="JF50" s="3">
        <v>97.1</v>
      </c>
      <c r="JG50" s="3">
        <v>49.3</v>
      </c>
      <c r="JH50" s="3">
        <v>38.9</v>
      </c>
      <c r="JI50" s="3">
        <v>-15.7</v>
      </c>
    </row>
    <row r="51" spans="1:269" ht="15.75" x14ac:dyDescent="0.5">
      <c r="A51" t="s">
        <v>55</v>
      </c>
      <c r="B51" s="43">
        <v>233</v>
      </c>
      <c r="C51" s="10">
        <v>37</v>
      </c>
      <c r="E51" t="s">
        <v>77</v>
      </c>
      <c r="H51" s="5"/>
      <c r="I51" s="5"/>
      <c r="R51" s="5"/>
      <c r="AD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GV51">
        <v>37</v>
      </c>
      <c r="GW51" t="s">
        <v>37</v>
      </c>
      <c r="GX51">
        <v>12.2</v>
      </c>
      <c r="GY51">
        <v>3.73</v>
      </c>
      <c r="GZ51">
        <v>0.71</v>
      </c>
      <c r="HA51">
        <v>26</v>
      </c>
      <c r="HB51">
        <v>69.599999999999994</v>
      </c>
      <c r="HC51">
        <v>69.099999999999994</v>
      </c>
      <c r="HD51">
        <v>1.4999999999999999E-2</v>
      </c>
      <c r="HE51">
        <v>4.1399999999999997</v>
      </c>
      <c r="HF51">
        <v>4.6399999999999997</v>
      </c>
      <c r="HG51">
        <v>61.5</v>
      </c>
      <c r="HH51">
        <v>36.1</v>
      </c>
      <c r="HI51">
        <v>9.33</v>
      </c>
      <c r="HJ51">
        <v>56.8</v>
      </c>
      <c r="HK51">
        <v>19.2</v>
      </c>
      <c r="HL51">
        <v>9.8699999999999992</v>
      </c>
      <c r="HM51">
        <v>24.2</v>
      </c>
      <c r="HN51">
        <v>21.6</v>
      </c>
      <c r="HO51">
        <v>26.5</v>
      </c>
      <c r="HP51">
        <v>40.799999999999997</v>
      </c>
      <c r="HQ51">
        <v>11.1</v>
      </c>
      <c r="HR51">
        <v>59.2</v>
      </c>
      <c r="HS51">
        <v>6.37</v>
      </c>
      <c r="HT51">
        <v>40.1</v>
      </c>
      <c r="HU51">
        <v>4.3499999999999996</v>
      </c>
      <c r="HV51">
        <v>46.5</v>
      </c>
      <c r="HW51">
        <v>9.01</v>
      </c>
      <c r="HX51">
        <v>24.4</v>
      </c>
      <c r="HY51">
        <v>2.88</v>
      </c>
      <c r="HZ51">
        <v>3.38</v>
      </c>
      <c r="IA51">
        <v>6.76</v>
      </c>
      <c r="IB51">
        <v>86.9</v>
      </c>
      <c r="IC51">
        <v>17</v>
      </c>
      <c r="ID51">
        <v>3.94</v>
      </c>
      <c r="IE51">
        <v>21.1</v>
      </c>
      <c r="IF51">
        <v>59.6</v>
      </c>
      <c r="IG51">
        <v>10</v>
      </c>
      <c r="IH51">
        <v>4.01</v>
      </c>
      <c r="II51">
        <v>26.5</v>
      </c>
      <c r="IJ51">
        <v>0.26</v>
      </c>
      <c r="IK51">
        <v>1.39</v>
      </c>
      <c r="IL51">
        <v>1.6</v>
      </c>
      <c r="IM51">
        <v>2.6</v>
      </c>
      <c r="IN51">
        <v>91.5</v>
      </c>
      <c r="IO51">
        <v>6.86</v>
      </c>
      <c r="IP51">
        <v>1.5</v>
      </c>
      <c r="IQ51">
        <v>91</v>
      </c>
      <c r="IR51">
        <v>5.58</v>
      </c>
      <c r="IS51">
        <v>64.3</v>
      </c>
      <c r="IT51">
        <v>2.35</v>
      </c>
      <c r="IU51">
        <v>31.1</v>
      </c>
      <c r="IV51">
        <v>0.28000000000000003</v>
      </c>
      <c r="IW51">
        <v>11.3</v>
      </c>
      <c r="IX51">
        <v>37.299999999999997</v>
      </c>
      <c r="IY51">
        <v>50.1</v>
      </c>
      <c r="IZ51">
        <v>0.28000000000000003</v>
      </c>
      <c r="JA51">
        <v>3.27</v>
      </c>
      <c r="JB51">
        <v>6.55</v>
      </c>
      <c r="JC51">
        <v>74.5</v>
      </c>
      <c r="JD51">
        <v>446</v>
      </c>
      <c r="JE51">
        <v>604</v>
      </c>
      <c r="JF51">
        <v>509</v>
      </c>
      <c r="JG51">
        <v>826</v>
      </c>
      <c r="JH51">
        <v>396</v>
      </c>
      <c r="JI51">
        <v>20.7</v>
      </c>
    </row>
    <row r="52" spans="1:269" ht="15.75" x14ac:dyDescent="0.5">
      <c r="A52" t="s">
        <v>55</v>
      </c>
      <c r="B52" s="43">
        <v>234</v>
      </c>
      <c r="C52" s="10">
        <v>38</v>
      </c>
      <c r="E52" s="3" t="s">
        <v>71</v>
      </c>
      <c r="H52" s="5"/>
      <c r="I52" s="5"/>
      <c r="R52" s="5"/>
      <c r="AD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GV52">
        <v>38</v>
      </c>
      <c r="GW52" t="s">
        <v>38</v>
      </c>
      <c r="GX52">
        <v>12.2</v>
      </c>
      <c r="GY52">
        <v>3.06</v>
      </c>
      <c r="GZ52">
        <v>0.64</v>
      </c>
      <c r="HA52">
        <v>32.4</v>
      </c>
      <c r="HB52">
        <v>63.9</v>
      </c>
      <c r="HC52">
        <v>69.2</v>
      </c>
      <c r="HD52">
        <v>1.7999999999999999E-2</v>
      </c>
      <c r="HE52">
        <v>0.28999999999999998</v>
      </c>
      <c r="HF52">
        <v>2.36</v>
      </c>
      <c r="HG52">
        <v>66.599999999999994</v>
      </c>
      <c r="HH52">
        <v>51.6</v>
      </c>
      <c r="HI52">
        <v>5.36</v>
      </c>
      <c r="HJ52">
        <v>54.7</v>
      </c>
      <c r="HK52">
        <v>31.9</v>
      </c>
      <c r="HL52">
        <v>5.43</v>
      </c>
      <c r="HM52">
        <v>30.4</v>
      </c>
      <c r="HN52">
        <v>54.8</v>
      </c>
      <c r="HO52">
        <v>4.37</v>
      </c>
      <c r="HP52">
        <v>33.200000000000003</v>
      </c>
      <c r="HQ52">
        <v>7.64</v>
      </c>
      <c r="HR52">
        <v>56.8</v>
      </c>
      <c r="HS52">
        <v>7.45</v>
      </c>
      <c r="HT52">
        <v>48.1</v>
      </c>
      <c r="HU52">
        <v>3.05</v>
      </c>
      <c r="HV52">
        <v>40.6</v>
      </c>
      <c r="HW52">
        <v>8.23</v>
      </c>
      <c r="HX52">
        <v>14.3</v>
      </c>
      <c r="HY52">
        <v>8.77</v>
      </c>
      <c r="HZ52">
        <v>7.86</v>
      </c>
      <c r="IA52">
        <v>15.2</v>
      </c>
      <c r="IB52">
        <v>68.099999999999994</v>
      </c>
      <c r="IC52">
        <v>18</v>
      </c>
      <c r="ID52">
        <v>1.1299999999999999</v>
      </c>
      <c r="IE52">
        <v>5.44</v>
      </c>
      <c r="IF52">
        <v>85.1</v>
      </c>
      <c r="IG52">
        <v>6.52</v>
      </c>
      <c r="IH52">
        <v>26.8</v>
      </c>
      <c r="II52">
        <v>23.9</v>
      </c>
      <c r="IJ52">
        <v>0.6</v>
      </c>
      <c r="IK52">
        <v>0.57999999999999996</v>
      </c>
      <c r="IL52">
        <v>2.13</v>
      </c>
      <c r="IM52">
        <v>6.3</v>
      </c>
      <c r="IN52">
        <v>96.4</v>
      </c>
      <c r="IO52">
        <v>2.98</v>
      </c>
      <c r="IP52">
        <v>0.54</v>
      </c>
      <c r="IQ52">
        <v>90.3</v>
      </c>
      <c r="IR52">
        <v>3.09</v>
      </c>
      <c r="IS52">
        <v>39.299999999999997</v>
      </c>
      <c r="IT52">
        <v>6.14</v>
      </c>
      <c r="IU52">
        <v>50.9</v>
      </c>
      <c r="IV52">
        <v>1.42</v>
      </c>
      <c r="IW52">
        <v>16.2</v>
      </c>
      <c r="IX52">
        <v>53.7</v>
      </c>
      <c r="IY52">
        <v>68.900000000000006</v>
      </c>
      <c r="IZ52">
        <v>0.62</v>
      </c>
      <c r="JA52">
        <v>1.86</v>
      </c>
      <c r="JB52">
        <v>8.17</v>
      </c>
      <c r="JC52">
        <v>31.5</v>
      </c>
      <c r="JD52">
        <v>424</v>
      </c>
      <c r="JE52">
        <v>434</v>
      </c>
      <c r="JF52">
        <v>474</v>
      </c>
      <c r="JG52">
        <v>655</v>
      </c>
      <c r="JH52">
        <v>305</v>
      </c>
      <c r="JI52">
        <v>44.1</v>
      </c>
    </row>
    <row r="53" spans="1:269" ht="15.75" x14ac:dyDescent="0.5">
      <c r="A53" t="s">
        <v>55</v>
      </c>
      <c r="B53" s="43">
        <v>235</v>
      </c>
      <c r="C53" s="10">
        <v>52</v>
      </c>
      <c r="E53" s="3" t="s">
        <v>71</v>
      </c>
      <c r="H53" s="5"/>
      <c r="I53" s="5"/>
      <c r="R53" s="5"/>
      <c r="AD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GV53">
        <v>52</v>
      </c>
      <c r="GW53" t="s">
        <v>39</v>
      </c>
      <c r="GX53">
        <v>8.85</v>
      </c>
      <c r="GY53">
        <v>12.8</v>
      </c>
      <c r="GZ53">
        <v>2.83</v>
      </c>
      <c r="HA53">
        <v>41.7</v>
      </c>
      <c r="HB53">
        <v>42.6</v>
      </c>
      <c r="HC53">
        <v>82.3</v>
      </c>
      <c r="HD53">
        <v>2.3E-2</v>
      </c>
      <c r="HE53">
        <v>0.91</v>
      </c>
      <c r="HF53">
        <v>2.6</v>
      </c>
      <c r="HG53">
        <v>78.5</v>
      </c>
      <c r="HH53">
        <v>58.7</v>
      </c>
      <c r="HI53">
        <v>5.31</v>
      </c>
      <c r="HJ53">
        <v>46</v>
      </c>
      <c r="HK53">
        <v>37.5</v>
      </c>
      <c r="HL53">
        <v>8.59</v>
      </c>
      <c r="HM53">
        <v>32.6</v>
      </c>
      <c r="HN53">
        <v>19</v>
      </c>
      <c r="HO53">
        <v>23.3</v>
      </c>
      <c r="HP53">
        <v>51.5</v>
      </c>
      <c r="HQ53">
        <v>6.24</v>
      </c>
      <c r="HR53">
        <v>41.5</v>
      </c>
      <c r="HS53">
        <v>14.3</v>
      </c>
      <c r="HT53">
        <v>19.2</v>
      </c>
      <c r="HU53">
        <v>16.5</v>
      </c>
      <c r="HV53">
        <v>41.5</v>
      </c>
      <c r="HW53">
        <v>22.7</v>
      </c>
      <c r="HX53">
        <v>18.7</v>
      </c>
      <c r="HY53">
        <v>11</v>
      </c>
      <c r="HZ53">
        <v>15.2</v>
      </c>
      <c r="IA53">
        <v>31.8</v>
      </c>
      <c r="IB53">
        <v>42</v>
      </c>
      <c r="IC53">
        <v>9.43</v>
      </c>
      <c r="ID53">
        <v>3.73</v>
      </c>
      <c r="IE53">
        <v>26.2</v>
      </c>
      <c r="IF53">
        <v>58.1</v>
      </c>
      <c r="IG53">
        <v>7.36</v>
      </c>
      <c r="IH53">
        <v>23.2</v>
      </c>
      <c r="II53">
        <v>13.2</v>
      </c>
      <c r="IJ53">
        <v>1.49</v>
      </c>
      <c r="IK53">
        <v>2.14</v>
      </c>
      <c r="IL53">
        <v>3.11</v>
      </c>
      <c r="IM53">
        <v>17.8</v>
      </c>
      <c r="IN53">
        <v>93.3</v>
      </c>
      <c r="IO53">
        <v>3.86</v>
      </c>
      <c r="IP53">
        <v>2.29</v>
      </c>
      <c r="IQ53">
        <v>78.5</v>
      </c>
      <c r="IR53">
        <v>3.34</v>
      </c>
      <c r="IS53">
        <v>54.9</v>
      </c>
      <c r="IT53">
        <v>5.47</v>
      </c>
      <c r="IU53">
        <v>36.700000000000003</v>
      </c>
      <c r="IV53">
        <v>0.91</v>
      </c>
      <c r="IW53">
        <v>5.24</v>
      </c>
      <c r="IX53">
        <v>53.7</v>
      </c>
      <c r="IY53">
        <v>69.3</v>
      </c>
      <c r="IZ53">
        <v>1.64</v>
      </c>
      <c r="JA53">
        <v>1.51</v>
      </c>
      <c r="JB53">
        <v>25</v>
      </c>
      <c r="JC53">
        <v>100</v>
      </c>
      <c r="JD53">
        <v>422</v>
      </c>
      <c r="JE53">
        <v>466</v>
      </c>
      <c r="JF53">
        <v>558</v>
      </c>
      <c r="JG53">
        <v>491</v>
      </c>
      <c r="JH53">
        <v>182</v>
      </c>
      <c r="JI53">
        <v>61.1</v>
      </c>
    </row>
    <row r="54" spans="1:269" ht="15.75" x14ac:dyDescent="0.5">
      <c r="A54" t="s">
        <v>55</v>
      </c>
      <c r="B54" s="43">
        <v>236</v>
      </c>
      <c r="C54" s="10">
        <v>37</v>
      </c>
      <c r="E54" t="s">
        <v>77</v>
      </c>
      <c r="H54" s="5"/>
      <c r="I54" s="5"/>
      <c r="R54" s="5"/>
      <c r="AD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GV54">
        <v>37</v>
      </c>
      <c r="GW54" t="s">
        <v>40</v>
      </c>
      <c r="GX54">
        <v>3.84</v>
      </c>
      <c r="GY54">
        <v>5.84</v>
      </c>
      <c r="GZ54">
        <v>6.4000000000000001E-2</v>
      </c>
      <c r="HA54">
        <v>50.4</v>
      </c>
      <c r="HB54">
        <v>43.7</v>
      </c>
      <c r="HC54">
        <v>82.6</v>
      </c>
      <c r="HD54" s="20">
        <v>6.7200000000000003E-3</v>
      </c>
      <c r="HE54">
        <v>1.98</v>
      </c>
      <c r="HF54">
        <v>15.2</v>
      </c>
      <c r="HG54">
        <v>65.599999999999994</v>
      </c>
      <c r="HH54">
        <v>24.7</v>
      </c>
      <c r="HI54">
        <v>8.89</v>
      </c>
      <c r="HJ54">
        <v>37.4</v>
      </c>
      <c r="HK54">
        <v>30.5</v>
      </c>
      <c r="HL54">
        <v>20.100000000000001</v>
      </c>
      <c r="HM54">
        <v>41.7</v>
      </c>
      <c r="HN54">
        <v>44.8</v>
      </c>
      <c r="HO54">
        <v>10.199999999999999</v>
      </c>
      <c r="HP54">
        <v>38.9</v>
      </c>
      <c r="HQ54">
        <v>6.08</v>
      </c>
      <c r="HR54">
        <v>36.5</v>
      </c>
      <c r="HS54">
        <v>9.74</v>
      </c>
      <c r="HT54">
        <v>27.3</v>
      </c>
      <c r="HU54">
        <v>7.46</v>
      </c>
      <c r="HV54">
        <v>53.5</v>
      </c>
      <c r="HW54">
        <v>11.7</v>
      </c>
      <c r="HX54">
        <v>40.299999999999997</v>
      </c>
      <c r="HY54">
        <v>2.33</v>
      </c>
      <c r="HZ54">
        <v>23.1</v>
      </c>
      <c r="IA54">
        <v>59.9</v>
      </c>
      <c r="IB54">
        <v>14.7</v>
      </c>
      <c r="IC54">
        <v>11.1</v>
      </c>
      <c r="ID54">
        <v>4.6500000000000004</v>
      </c>
      <c r="IE54">
        <v>19.8</v>
      </c>
      <c r="IF54">
        <v>57.8</v>
      </c>
      <c r="IG54">
        <v>14.7</v>
      </c>
      <c r="IH54">
        <v>14</v>
      </c>
      <c r="II54">
        <v>29.8</v>
      </c>
      <c r="IJ54">
        <v>0.69</v>
      </c>
      <c r="IK54">
        <v>1.17</v>
      </c>
      <c r="IL54">
        <v>0.74</v>
      </c>
      <c r="IM54">
        <v>1.08</v>
      </c>
      <c r="IN54">
        <v>65.400000000000006</v>
      </c>
      <c r="IO54">
        <v>33.200000000000003</v>
      </c>
      <c r="IP54">
        <v>1.36</v>
      </c>
      <c r="IQ54">
        <v>79.2</v>
      </c>
      <c r="IR54">
        <v>19.399999999999999</v>
      </c>
      <c r="IS54">
        <v>33.9</v>
      </c>
      <c r="IT54">
        <v>3.64</v>
      </c>
      <c r="IU54">
        <v>45.8</v>
      </c>
      <c r="IV54">
        <v>1.29</v>
      </c>
      <c r="IW54">
        <v>8.83</v>
      </c>
      <c r="IX54">
        <v>68.900000000000006</v>
      </c>
      <c r="IY54">
        <v>48.2</v>
      </c>
      <c r="IZ54">
        <v>0.18</v>
      </c>
      <c r="JA54">
        <v>4.59</v>
      </c>
      <c r="JB54">
        <v>41.3</v>
      </c>
      <c r="JC54">
        <v>-60.2</v>
      </c>
      <c r="JD54">
        <v>192</v>
      </c>
      <c r="JE54">
        <v>340</v>
      </c>
      <c r="JF54">
        <v>264</v>
      </c>
      <c r="JG54">
        <v>374</v>
      </c>
      <c r="JH54">
        <v>63.9</v>
      </c>
      <c r="JI54">
        <v>25.7</v>
      </c>
    </row>
    <row r="55" spans="1:269" ht="15.75" x14ac:dyDescent="0.5">
      <c r="A55" t="s">
        <v>55</v>
      </c>
      <c r="B55" s="43">
        <v>237</v>
      </c>
      <c r="C55" s="10">
        <v>25</v>
      </c>
      <c r="E55" s="3" t="s">
        <v>71</v>
      </c>
      <c r="H55" s="5"/>
      <c r="I55" s="5"/>
      <c r="R55" s="5"/>
      <c r="AD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GV55">
        <v>25</v>
      </c>
      <c r="GW55" s="24" t="s">
        <v>41</v>
      </c>
      <c r="GX55" s="24">
        <v>7.04</v>
      </c>
      <c r="GY55" s="24">
        <v>22.5</v>
      </c>
      <c r="GZ55" s="24">
        <v>1.24</v>
      </c>
      <c r="HA55" s="24">
        <v>54.7</v>
      </c>
      <c r="HB55" s="24">
        <v>21.5</v>
      </c>
      <c r="HC55" s="24">
        <v>75.400000000000006</v>
      </c>
      <c r="HD55" s="24">
        <v>3.76</v>
      </c>
      <c r="HE55" s="24">
        <v>7.05</v>
      </c>
      <c r="HF55" s="24">
        <v>2.73</v>
      </c>
      <c r="HG55" s="24">
        <v>63.4</v>
      </c>
      <c r="HH55" s="24">
        <v>46.8</v>
      </c>
      <c r="HI55" s="24">
        <v>7.91</v>
      </c>
      <c r="HJ55" s="24">
        <v>45.6</v>
      </c>
      <c r="HK55" s="24">
        <v>32.6</v>
      </c>
      <c r="HL55" s="24">
        <v>11.9</v>
      </c>
      <c r="HM55" s="24">
        <v>39</v>
      </c>
      <c r="HN55" s="24">
        <v>22</v>
      </c>
      <c r="HO55" s="24">
        <v>29.7</v>
      </c>
      <c r="HP55" s="24">
        <v>31.7</v>
      </c>
      <c r="HQ55" s="24">
        <v>16.600000000000001</v>
      </c>
      <c r="HR55" s="24">
        <v>45.5</v>
      </c>
      <c r="HS55" s="24">
        <v>6.52</v>
      </c>
      <c r="HT55" s="24">
        <v>30.8</v>
      </c>
      <c r="HU55" s="24">
        <v>10</v>
      </c>
      <c r="HV55" s="24">
        <v>46.8</v>
      </c>
      <c r="HW55" s="24">
        <v>12.4</v>
      </c>
      <c r="HX55" s="24">
        <v>15.2</v>
      </c>
      <c r="HY55" s="24">
        <v>2.72</v>
      </c>
      <c r="HZ55" s="24">
        <v>16.899999999999999</v>
      </c>
      <c r="IA55" s="24">
        <v>25.8</v>
      </c>
      <c r="IB55" s="24">
        <v>54.5</v>
      </c>
      <c r="IC55" s="24">
        <v>15.4</v>
      </c>
      <c r="ID55" s="24">
        <v>3.01</v>
      </c>
      <c r="IE55" s="24">
        <v>14</v>
      </c>
      <c r="IF55" s="24">
        <v>64.599999999999994</v>
      </c>
      <c r="IG55" s="24">
        <v>16.399999999999999</v>
      </c>
      <c r="IH55" s="24">
        <v>13.3</v>
      </c>
      <c r="II55" s="24">
        <v>31.8</v>
      </c>
      <c r="IJ55" s="24">
        <v>0.37</v>
      </c>
      <c r="IK55" s="24">
        <v>0.85</v>
      </c>
      <c r="IL55" s="24">
        <v>0.94</v>
      </c>
      <c r="IM55" s="24">
        <v>0.8</v>
      </c>
      <c r="IN55" s="24">
        <v>68.599999999999994</v>
      </c>
      <c r="IO55" s="24">
        <v>30.3</v>
      </c>
      <c r="IP55" s="24">
        <v>1</v>
      </c>
      <c r="IQ55" s="24">
        <v>90.1</v>
      </c>
      <c r="IR55" s="24">
        <v>9.09</v>
      </c>
      <c r="IS55" s="24">
        <v>34.799999999999997</v>
      </c>
      <c r="IT55" s="24">
        <v>2.3199999999999998</v>
      </c>
      <c r="IU55" s="24">
        <v>46.5</v>
      </c>
      <c r="IV55" s="24">
        <v>0.15</v>
      </c>
      <c r="IW55" s="24">
        <v>2.35</v>
      </c>
      <c r="IX55" s="24">
        <v>20</v>
      </c>
      <c r="IY55" s="24">
        <v>40.799999999999997</v>
      </c>
      <c r="IZ55" s="24">
        <v>0.32</v>
      </c>
      <c r="JA55" s="24">
        <v>3.39</v>
      </c>
      <c r="JB55" s="24">
        <v>4.53</v>
      </c>
      <c r="JC55" s="24">
        <v>-36.5</v>
      </c>
      <c r="JD55" s="24">
        <v>302</v>
      </c>
      <c r="JE55" s="24">
        <v>462</v>
      </c>
      <c r="JF55" s="24">
        <v>335</v>
      </c>
      <c r="JG55" s="24">
        <v>657</v>
      </c>
      <c r="JH55" s="24">
        <v>389</v>
      </c>
      <c r="JI55" s="24">
        <v>17.5</v>
      </c>
    </row>
    <row r="56" spans="1:269" ht="15.75" x14ac:dyDescent="0.5">
      <c r="A56" t="s">
        <v>55</v>
      </c>
      <c r="B56" s="43">
        <v>249</v>
      </c>
      <c r="C56" s="6">
        <v>52.356164383561641</v>
      </c>
      <c r="E56" t="s">
        <v>77</v>
      </c>
      <c r="H56" s="5"/>
      <c r="I56" s="5"/>
      <c r="R56" s="5"/>
      <c r="AD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GV56" s="5">
        <v>52.356164383561641</v>
      </c>
      <c r="GW56" s="4" t="s">
        <v>53</v>
      </c>
      <c r="GX56" s="27">
        <v>6.07</v>
      </c>
      <c r="GY56" s="27">
        <v>9.4499999999999993</v>
      </c>
      <c r="GZ56">
        <v>0.04</v>
      </c>
      <c r="HA56" s="27">
        <v>34.6</v>
      </c>
      <c r="HB56" s="27">
        <v>56</v>
      </c>
      <c r="HC56" s="27">
        <v>83.9</v>
      </c>
      <c r="HD56" s="27">
        <v>2.4E-2</v>
      </c>
      <c r="HE56" s="27">
        <v>1.18</v>
      </c>
      <c r="HF56" s="27">
        <v>0.73</v>
      </c>
      <c r="HG56" s="27">
        <v>81.8</v>
      </c>
      <c r="HH56" s="27">
        <v>72.5</v>
      </c>
      <c r="HI56" s="27">
        <v>5.52</v>
      </c>
      <c r="HJ56" s="27">
        <v>58.9</v>
      </c>
      <c r="HK56" s="27">
        <v>28.5</v>
      </c>
      <c r="HL56" s="27">
        <v>4.8099999999999996</v>
      </c>
      <c r="HM56" s="27">
        <v>31.3</v>
      </c>
      <c r="HN56" s="27">
        <v>62.5</v>
      </c>
      <c r="HO56" s="27">
        <v>6.37</v>
      </c>
      <c r="HP56" s="27">
        <v>25.1</v>
      </c>
      <c r="HQ56" s="27">
        <v>6.01</v>
      </c>
      <c r="HR56" s="27">
        <v>58.9</v>
      </c>
      <c r="HS56" s="27">
        <v>2.95</v>
      </c>
      <c r="HT56" s="27">
        <v>55</v>
      </c>
      <c r="HU56" s="27">
        <v>2.2000000000000002</v>
      </c>
      <c r="HV56" s="27">
        <v>32</v>
      </c>
      <c r="HW56" s="27">
        <v>10.8</v>
      </c>
      <c r="HX56" s="27">
        <v>8.7200000000000006</v>
      </c>
      <c r="HY56" s="27">
        <v>20</v>
      </c>
      <c r="HZ56" s="27">
        <v>12</v>
      </c>
      <c r="IA56" s="27">
        <v>28.7</v>
      </c>
      <c r="IB56" s="27">
        <v>39.299999999999997</v>
      </c>
      <c r="IC56" s="27">
        <v>8.19</v>
      </c>
      <c r="ID56" s="27">
        <v>1.78</v>
      </c>
      <c r="IE56" s="27">
        <v>15.1</v>
      </c>
      <c r="IF56" s="27">
        <v>77.2</v>
      </c>
      <c r="IG56" s="27">
        <v>5.81</v>
      </c>
      <c r="IH56" s="27">
        <v>16.899999999999999</v>
      </c>
      <c r="II56" s="27">
        <v>26.6</v>
      </c>
      <c r="IJ56" s="27">
        <v>1.1100000000000001</v>
      </c>
      <c r="IK56" s="27">
        <v>0.49</v>
      </c>
      <c r="IL56" s="27">
        <v>2.9</v>
      </c>
      <c r="IM56" s="27">
        <v>3.57</v>
      </c>
      <c r="IN56" s="27">
        <v>83.2</v>
      </c>
      <c r="IO56" s="27">
        <v>16.100000000000001</v>
      </c>
      <c r="IP56" s="27">
        <v>0.62</v>
      </c>
      <c r="IQ56" s="27">
        <v>85.3</v>
      </c>
      <c r="IR56" s="27">
        <v>11.4</v>
      </c>
      <c r="IS56" s="27">
        <v>46.7</v>
      </c>
      <c r="IU56" s="27">
        <v>42.6</v>
      </c>
      <c r="IV56" s="27">
        <v>1.77</v>
      </c>
      <c r="IW56" s="27">
        <v>8.9499999999999993</v>
      </c>
      <c r="IX56" s="27">
        <v>60.9</v>
      </c>
      <c r="IY56" s="27">
        <v>91.8</v>
      </c>
      <c r="IZ56" s="27">
        <v>0.39</v>
      </c>
      <c r="JA56" s="27">
        <v>4.3499999999999996</v>
      </c>
      <c r="JB56" s="27">
        <v>23.9</v>
      </c>
      <c r="JC56" s="27">
        <v>-20</v>
      </c>
      <c r="JD56" s="27">
        <v>290</v>
      </c>
      <c r="JE56" s="27">
        <v>277</v>
      </c>
      <c r="JF56" s="27">
        <v>344</v>
      </c>
      <c r="JG56" s="27">
        <v>750</v>
      </c>
      <c r="JH56" s="27">
        <v>196</v>
      </c>
      <c r="JI56" s="27">
        <v>57.3</v>
      </c>
    </row>
    <row r="57" spans="1:269" ht="15.75" x14ac:dyDescent="0.5">
      <c r="A57" t="s">
        <v>55</v>
      </c>
      <c r="B57" s="43">
        <v>238</v>
      </c>
      <c r="C57" s="10">
        <v>29</v>
      </c>
      <c r="E57" t="s">
        <v>77</v>
      </c>
      <c r="H57" s="5"/>
      <c r="I57" s="5"/>
      <c r="R57" s="5"/>
      <c r="AD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GV57">
        <v>29</v>
      </c>
      <c r="GW57" t="s">
        <v>42</v>
      </c>
      <c r="GX57">
        <v>22.8</v>
      </c>
      <c r="GY57">
        <v>1.1200000000000001</v>
      </c>
      <c r="GZ57">
        <v>8.8999999999999996E-2</v>
      </c>
      <c r="HA57">
        <v>39.200000000000003</v>
      </c>
      <c r="HB57">
        <v>59.6</v>
      </c>
      <c r="HC57">
        <v>65.3</v>
      </c>
      <c r="HD57">
        <v>5.7000000000000002E-2</v>
      </c>
      <c r="HE57">
        <v>6.62</v>
      </c>
      <c r="HF57">
        <v>14.9</v>
      </c>
      <c r="HG57">
        <v>45.7</v>
      </c>
      <c r="HH57">
        <v>29.6</v>
      </c>
      <c r="HI57">
        <v>9.58</v>
      </c>
      <c r="HJ57">
        <v>45.9</v>
      </c>
      <c r="HK57">
        <v>29.9</v>
      </c>
      <c r="HL57">
        <v>12.9</v>
      </c>
      <c r="HM57">
        <v>35.1</v>
      </c>
      <c r="HN57">
        <v>45.1</v>
      </c>
      <c r="HO57">
        <v>14.2</v>
      </c>
      <c r="HP57">
        <v>33</v>
      </c>
      <c r="HQ57">
        <v>7.77</v>
      </c>
      <c r="HR57">
        <v>46.9</v>
      </c>
      <c r="HS57">
        <v>8.42</v>
      </c>
      <c r="HT57">
        <v>42.6</v>
      </c>
      <c r="HU57">
        <v>2.64</v>
      </c>
      <c r="HV57">
        <v>48.8</v>
      </c>
      <c r="HW57">
        <v>5.94</v>
      </c>
      <c r="HX57">
        <v>15.4</v>
      </c>
      <c r="HY57">
        <v>4.62</v>
      </c>
      <c r="HZ57">
        <v>37.6</v>
      </c>
      <c r="IA57">
        <v>12.1</v>
      </c>
      <c r="IB57">
        <v>45.5</v>
      </c>
      <c r="IC57">
        <v>7.66</v>
      </c>
      <c r="ID57">
        <v>6.05</v>
      </c>
      <c r="IE57">
        <v>53.4</v>
      </c>
      <c r="IF57">
        <v>34.799999999999997</v>
      </c>
      <c r="IG57">
        <v>2.37</v>
      </c>
      <c r="IH57">
        <v>15.3</v>
      </c>
      <c r="II57">
        <v>21.1</v>
      </c>
      <c r="IJ57">
        <v>1.01</v>
      </c>
      <c r="IK57">
        <v>3.07</v>
      </c>
      <c r="IL57">
        <v>1.85</v>
      </c>
      <c r="IM57">
        <v>4.63</v>
      </c>
      <c r="IN57">
        <v>59.4</v>
      </c>
      <c r="IO57">
        <v>36.1</v>
      </c>
      <c r="IP57">
        <v>4.3600000000000003</v>
      </c>
      <c r="IQ57">
        <v>71.7</v>
      </c>
      <c r="IR57">
        <v>22.4</v>
      </c>
      <c r="IS57">
        <v>45.7</v>
      </c>
      <c r="IT57">
        <v>2.83</v>
      </c>
      <c r="IU57">
        <v>39.299999999999997</v>
      </c>
      <c r="IV57">
        <v>0.22</v>
      </c>
      <c r="IW57">
        <v>5.2</v>
      </c>
      <c r="IX57">
        <v>51.5</v>
      </c>
      <c r="IY57">
        <v>37</v>
      </c>
      <c r="IZ57">
        <v>0.31</v>
      </c>
      <c r="JA57">
        <v>1.91</v>
      </c>
      <c r="JB57">
        <v>7.4</v>
      </c>
      <c r="JC57">
        <v>-57.4</v>
      </c>
      <c r="JD57">
        <v>180</v>
      </c>
      <c r="JE57">
        <v>318</v>
      </c>
      <c r="JF57">
        <v>332</v>
      </c>
      <c r="JG57">
        <v>810</v>
      </c>
      <c r="JH57">
        <v>274</v>
      </c>
      <c r="JI57">
        <v>-12.9</v>
      </c>
    </row>
    <row r="58" spans="1:269" ht="15.75" x14ac:dyDescent="0.5">
      <c r="A58" t="s">
        <v>55</v>
      </c>
      <c r="B58" s="43">
        <v>239</v>
      </c>
      <c r="C58" s="10">
        <v>22</v>
      </c>
      <c r="E58" s="3" t="s">
        <v>71</v>
      </c>
      <c r="H58" s="5"/>
      <c r="I58" s="5"/>
      <c r="R58" s="5"/>
      <c r="AD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GV58">
        <v>22</v>
      </c>
      <c r="GW58" t="s">
        <v>43</v>
      </c>
      <c r="GX58">
        <v>11.1</v>
      </c>
      <c r="GY58">
        <v>9.8699999999999992</v>
      </c>
      <c r="GZ58">
        <v>0.23</v>
      </c>
      <c r="HA58">
        <v>38</v>
      </c>
      <c r="HB58">
        <v>51.9</v>
      </c>
      <c r="HC58">
        <v>66</v>
      </c>
      <c r="HD58">
        <v>5.8000000000000003E-2</v>
      </c>
      <c r="HE58">
        <v>5.66</v>
      </c>
      <c r="HF58">
        <v>6.9</v>
      </c>
      <c r="HG58">
        <v>55.2</v>
      </c>
      <c r="HH58">
        <v>36.299999999999997</v>
      </c>
      <c r="HI58">
        <v>6.79</v>
      </c>
      <c r="HJ58">
        <v>56.1</v>
      </c>
      <c r="HK58">
        <v>19.7</v>
      </c>
      <c r="HL58">
        <v>14.8</v>
      </c>
      <c r="HM58">
        <v>28.6</v>
      </c>
      <c r="HN58">
        <v>39.4</v>
      </c>
      <c r="HO58">
        <v>10.3</v>
      </c>
      <c r="HP58">
        <v>39.9</v>
      </c>
      <c r="HQ58">
        <v>10.4</v>
      </c>
      <c r="HR58">
        <v>58.1</v>
      </c>
      <c r="HS58">
        <v>6.84</v>
      </c>
      <c r="HT58">
        <v>47.9</v>
      </c>
      <c r="HU58">
        <v>2.02</v>
      </c>
      <c r="HV58">
        <v>42.8</v>
      </c>
      <c r="HW58">
        <v>7.32</v>
      </c>
      <c r="HX58">
        <v>17.7</v>
      </c>
      <c r="HY58">
        <v>3.75</v>
      </c>
      <c r="HZ58">
        <v>6.53</v>
      </c>
      <c r="IA58">
        <v>28.5</v>
      </c>
      <c r="IB58">
        <v>61</v>
      </c>
      <c r="IC58">
        <v>19.7</v>
      </c>
      <c r="ID58">
        <v>3.54</v>
      </c>
      <c r="IE58">
        <v>22.8</v>
      </c>
      <c r="IF58">
        <v>56.2</v>
      </c>
      <c r="IG58">
        <v>9.7200000000000006</v>
      </c>
      <c r="IH58">
        <v>3.66</v>
      </c>
      <c r="II58">
        <v>27.2</v>
      </c>
      <c r="IJ58">
        <v>0.61</v>
      </c>
      <c r="IK58">
        <v>2.0499999999999998</v>
      </c>
      <c r="IL58">
        <v>4.3899999999999997</v>
      </c>
      <c r="IM58">
        <v>5.72</v>
      </c>
      <c r="IN58">
        <v>91.2</v>
      </c>
      <c r="IO58">
        <v>6.47</v>
      </c>
      <c r="IP58">
        <v>2.25</v>
      </c>
      <c r="IQ58">
        <v>87.4</v>
      </c>
      <c r="IR58">
        <v>4.6900000000000004</v>
      </c>
      <c r="IS58">
        <v>62.8</v>
      </c>
      <c r="IT58">
        <v>1.9</v>
      </c>
      <c r="IU58">
        <v>31.4</v>
      </c>
      <c r="IV58">
        <v>0.52</v>
      </c>
      <c r="IW58">
        <v>4.12</v>
      </c>
      <c r="IX58">
        <v>36</v>
      </c>
      <c r="IY58">
        <v>79.599999999999994</v>
      </c>
      <c r="IZ58">
        <v>0.13</v>
      </c>
      <c r="JA58">
        <v>1.68</v>
      </c>
      <c r="JB58">
        <v>7.58</v>
      </c>
      <c r="JC58">
        <v>51.6</v>
      </c>
      <c r="JD58">
        <v>563</v>
      </c>
      <c r="JE58">
        <v>519</v>
      </c>
      <c r="JF58">
        <v>420</v>
      </c>
      <c r="JG58">
        <v>526</v>
      </c>
      <c r="JH58">
        <v>179</v>
      </c>
      <c r="JI58">
        <v>26.8</v>
      </c>
    </row>
    <row r="59" spans="1:269" ht="15.75" x14ac:dyDescent="0.5">
      <c r="A59" t="s">
        <v>55</v>
      </c>
      <c r="B59" s="43">
        <v>245</v>
      </c>
      <c r="C59" s="6">
        <v>23.547945205479451</v>
      </c>
      <c r="E59" t="s">
        <v>77</v>
      </c>
      <c r="H59" s="5"/>
      <c r="I59" s="5"/>
      <c r="R59" s="5"/>
      <c r="AD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GV59" s="5">
        <v>23.547945205479451</v>
      </c>
      <c r="GW59" s="4" t="s">
        <v>49</v>
      </c>
      <c r="GX59" s="27">
        <v>4.5199999999999996</v>
      </c>
      <c r="GY59" s="27">
        <v>8.16</v>
      </c>
      <c r="GZ59">
        <v>0.14000000000000057</v>
      </c>
      <c r="HA59" s="27">
        <v>55</v>
      </c>
      <c r="HB59" s="27">
        <v>36.700000000000003</v>
      </c>
      <c r="HC59" s="27">
        <v>85.1</v>
      </c>
      <c r="HD59" s="27">
        <v>3.4000000000000002E-2</v>
      </c>
      <c r="HE59" s="27">
        <v>2.31</v>
      </c>
      <c r="HF59" s="27">
        <v>2.35</v>
      </c>
      <c r="HG59" s="27">
        <v>80.3</v>
      </c>
      <c r="HH59" s="27">
        <v>43</v>
      </c>
      <c r="HI59" s="27">
        <v>4.17</v>
      </c>
      <c r="HJ59" s="27">
        <v>46.4</v>
      </c>
      <c r="HK59" s="27">
        <v>33.200000000000003</v>
      </c>
      <c r="HL59" s="27">
        <v>13.1</v>
      </c>
      <c r="HM59" s="27">
        <v>42.2</v>
      </c>
      <c r="HN59" s="27">
        <v>20.7</v>
      </c>
      <c r="HO59" s="27">
        <v>27.4</v>
      </c>
      <c r="HP59" s="27">
        <v>34.9</v>
      </c>
      <c r="HQ59" s="27">
        <v>17</v>
      </c>
      <c r="HR59" s="27">
        <v>46.4</v>
      </c>
      <c r="HS59" s="27">
        <v>6.73</v>
      </c>
      <c r="HT59" s="27">
        <v>18.399999999999999</v>
      </c>
      <c r="HU59" s="27">
        <v>15.9</v>
      </c>
      <c r="HV59" s="27">
        <v>44.5</v>
      </c>
      <c r="HW59" s="27">
        <v>21.2</v>
      </c>
      <c r="HX59" s="27">
        <v>36.1</v>
      </c>
      <c r="HY59" s="27">
        <v>10.3</v>
      </c>
      <c r="HZ59" s="27">
        <v>24.3</v>
      </c>
      <c r="IA59" s="27">
        <v>27.6</v>
      </c>
      <c r="IB59" s="27">
        <v>37.799999999999997</v>
      </c>
      <c r="IC59" s="27">
        <v>8.8000000000000007</v>
      </c>
      <c r="ID59" s="27">
        <v>2.04</v>
      </c>
      <c r="IE59" s="27">
        <v>30</v>
      </c>
      <c r="IF59" s="27">
        <v>65.8</v>
      </c>
      <c r="IG59" s="27">
        <v>1.86</v>
      </c>
      <c r="IH59" s="27">
        <v>17.100000000000001</v>
      </c>
      <c r="II59" s="27">
        <v>28.5</v>
      </c>
      <c r="IJ59" s="27">
        <v>1.94</v>
      </c>
      <c r="IK59" s="27">
        <v>2.2799999999999998</v>
      </c>
      <c r="IL59" s="27">
        <v>4.96</v>
      </c>
      <c r="IM59" s="27">
        <v>24.1</v>
      </c>
      <c r="IN59" s="27">
        <v>55.7</v>
      </c>
      <c r="IO59" s="27">
        <v>41.2</v>
      </c>
      <c r="IP59" s="27">
        <v>2.96</v>
      </c>
      <c r="IQ59" s="27">
        <v>46.6</v>
      </c>
      <c r="IR59" s="27">
        <v>27.1</v>
      </c>
      <c r="IS59" s="27">
        <v>33.200000000000003</v>
      </c>
      <c r="IU59" s="27">
        <v>46.9</v>
      </c>
      <c r="IV59" s="27">
        <v>1.28</v>
      </c>
      <c r="IW59" s="27">
        <v>8.2200000000000006</v>
      </c>
      <c r="IX59" s="27">
        <v>21.2</v>
      </c>
      <c r="IY59" s="27">
        <v>65.900000000000006</v>
      </c>
      <c r="IZ59" s="27">
        <v>0.25</v>
      </c>
      <c r="JA59" s="27">
        <v>4.46</v>
      </c>
      <c r="JB59" s="27">
        <v>15.7</v>
      </c>
      <c r="JC59" s="27">
        <v>-53.2</v>
      </c>
      <c r="JD59" s="27">
        <v>423</v>
      </c>
      <c r="JE59" s="27">
        <v>618</v>
      </c>
      <c r="JF59" s="27">
        <v>307</v>
      </c>
      <c r="JG59" s="27">
        <v>597</v>
      </c>
      <c r="JH59" s="27">
        <v>248</v>
      </c>
      <c r="JI59" s="27">
        <v>32.299999999999997</v>
      </c>
    </row>
    <row r="60" spans="1:269" ht="15.75" x14ac:dyDescent="0.5">
      <c r="A60" t="s">
        <v>55</v>
      </c>
      <c r="B60" s="43">
        <v>240</v>
      </c>
      <c r="C60" s="10">
        <v>29</v>
      </c>
      <c r="E60" s="3" t="s">
        <v>71</v>
      </c>
      <c r="H60" s="5"/>
      <c r="I60" s="5"/>
      <c r="R60" s="5"/>
      <c r="AD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GV60">
        <v>29</v>
      </c>
      <c r="GW60" t="s">
        <v>44</v>
      </c>
      <c r="GX60">
        <v>27.4</v>
      </c>
      <c r="GY60">
        <v>3.29</v>
      </c>
      <c r="GZ60">
        <v>0.11</v>
      </c>
      <c r="HA60">
        <v>26.8</v>
      </c>
      <c r="HB60">
        <v>69.8</v>
      </c>
      <c r="HC60">
        <v>63.9</v>
      </c>
      <c r="HD60">
        <v>6.9000000000000006E-2</v>
      </c>
      <c r="HE60">
        <v>10.3</v>
      </c>
      <c r="HF60">
        <v>8.7100000000000009</v>
      </c>
      <c r="HG60">
        <v>48.5</v>
      </c>
      <c r="HH60">
        <v>28.5</v>
      </c>
      <c r="HI60">
        <v>5.3</v>
      </c>
      <c r="HJ60">
        <v>49.7</v>
      </c>
      <c r="HK60">
        <v>30.9</v>
      </c>
      <c r="HL60">
        <v>13.3</v>
      </c>
      <c r="HM60">
        <v>37.299999999999997</v>
      </c>
      <c r="HN60">
        <v>35.4</v>
      </c>
      <c r="HO60">
        <v>16.100000000000001</v>
      </c>
      <c r="HP60">
        <v>32.5</v>
      </c>
      <c r="HQ60">
        <v>16</v>
      </c>
      <c r="HR60">
        <v>49.9</v>
      </c>
      <c r="HS60">
        <v>6.68</v>
      </c>
      <c r="HT60">
        <v>29.3</v>
      </c>
      <c r="HU60">
        <v>9</v>
      </c>
      <c r="HV60">
        <v>43.4</v>
      </c>
      <c r="HW60">
        <v>18.3</v>
      </c>
      <c r="HX60">
        <v>19</v>
      </c>
      <c r="HY60">
        <v>5.12</v>
      </c>
      <c r="HZ60">
        <v>12.9</v>
      </c>
      <c r="IA60">
        <v>9.2799999999999994</v>
      </c>
      <c r="IB60">
        <v>72.7</v>
      </c>
      <c r="IC60">
        <v>5.77</v>
      </c>
      <c r="ID60">
        <v>7.25</v>
      </c>
      <c r="IE60">
        <v>36.700000000000003</v>
      </c>
      <c r="IF60">
        <v>46.6</v>
      </c>
      <c r="IG60">
        <v>3.43</v>
      </c>
      <c r="IH60">
        <v>10.4</v>
      </c>
      <c r="II60">
        <v>40.1</v>
      </c>
      <c r="IJ60">
        <v>0.69</v>
      </c>
      <c r="IK60">
        <v>3.63</v>
      </c>
      <c r="IL60">
        <v>7.16</v>
      </c>
      <c r="IM60">
        <v>3.69</v>
      </c>
      <c r="IN60">
        <v>77.8</v>
      </c>
      <c r="IO60">
        <v>17.8</v>
      </c>
      <c r="IP60">
        <v>4.2699999999999996</v>
      </c>
      <c r="IQ60">
        <v>81.2</v>
      </c>
      <c r="IR60">
        <v>8.2799999999999994</v>
      </c>
      <c r="IS60">
        <v>43.2</v>
      </c>
      <c r="IT60">
        <v>2.52</v>
      </c>
      <c r="IU60">
        <v>51.3</v>
      </c>
      <c r="IV60">
        <v>0.45</v>
      </c>
      <c r="IW60">
        <v>4.58</v>
      </c>
      <c r="IX60">
        <v>39.4</v>
      </c>
      <c r="IY60">
        <v>44.8</v>
      </c>
      <c r="IZ60">
        <v>0.46</v>
      </c>
      <c r="JA60">
        <v>2.2000000000000002</v>
      </c>
      <c r="JB60">
        <v>13.6</v>
      </c>
      <c r="JC60">
        <v>-24.3</v>
      </c>
      <c r="JD60">
        <v>445</v>
      </c>
      <c r="JE60">
        <v>519</v>
      </c>
      <c r="JF60">
        <v>392</v>
      </c>
      <c r="JG60">
        <v>823</v>
      </c>
      <c r="JH60">
        <v>279</v>
      </c>
      <c r="JI60">
        <v>-71.5</v>
      </c>
    </row>
    <row r="61" spans="1:269" ht="15.75" x14ac:dyDescent="0.5">
      <c r="A61" t="s">
        <v>55</v>
      </c>
      <c r="B61" s="43">
        <v>241</v>
      </c>
      <c r="C61" s="10">
        <v>73</v>
      </c>
      <c r="E61" t="s">
        <v>77</v>
      </c>
      <c r="H61" s="5"/>
      <c r="I61" s="5"/>
      <c r="R61" s="5"/>
      <c r="AD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GV61">
        <v>73</v>
      </c>
      <c r="GW61" s="3" t="s">
        <v>45</v>
      </c>
      <c r="GX61" s="3">
        <v>27.9</v>
      </c>
      <c r="GY61" s="3">
        <v>1.68</v>
      </c>
      <c r="GZ61" s="3">
        <v>0.72</v>
      </c>
      <c r="HA61" s="3">
        <v>19.5</v>
      </c>
      <c r="HB61" s="3">
        <v>78.2</v>
      </c>
      <c r="HC61" s="3">
        <v>46.6</v>
      </c>
      <c r="HD61" s="3">
        <v>1.7999999999999999E-2</v>
      </c>
      <c r="HE61" s="3">
        <v>1.64</v>
      </c>
      <c r="HF61" s="3">
        <v>2.59</v>
      </c>
      <c r="HG61" s="3">
        <v>43.1</v>
      </c>
      <c r="HH61" s="3">
        <v>32.9</v>
      </c>
      <c r="HI61" s="3">
        <v>3.25</v>
      </c>
      <c r="HJ61" s="3">
        <v>67</v>
      </c>
      <c r="HK61" s="3">
        <v>17.100000000000001</v>
      </c>
      <c r="HL61" s="3">
        <v>11.6</v>
      </c>
      <c r="HM61" s="3">
        <v>24.4</v>
      </c>
      <c r="HN61" s="3">
        <v>48</v>
      </c>
      <c r="HO61" s="3">
        <v>15.3</v>
      </c>
      <c r="HP61" s="3">
        <v>15.9</v>
      </c>
      <c r="HQ61" s="3">
        <v>20.8</v>
      </c>
      <c r="HR61" s="3">
        <v>32.299999999999997</v>
      </c>
      <c r="HS61" s="3">
        <v>3.9</v>
      </c>
      <c r="HT61" s="3">
        <v>28.5</v>
      </c>
      <c r="HU61" s="3">
        <v>12.7</v>
      </c>
      <c r="HV61" s="3">
        <v>18.899999999999999</v>
      </c>
      <c r="HW61" s="3">
        <v>39.9</v>
      </c>
      <c r="HX61" s="3">
        <v>8.9700000000000006</v>
      </c>
      <c r="HY61" s="3">
        <v>2.82</v>
      </c>
      <c r="HZ61" s="3">
        <v>11.4</v>
      </c>
      <c r="IA61" s="3">
        <v>65.599999999999994</v>
      </c>
      <c r="IB61" s="3">
        <v>18.600000000000001</v>
      </c>
      <c r="IC61" s="3">
        <v>7.27</v>
      </c>
      <c r="ID61" s="3">
        <v>7.4</v>
      </c>
      <c r="IE61" s="3">
        <v>26.4</v>
      </c>
      <c r="IF61" s="3">
        <v>53.9</v>
      </c>
      <c r="IG61" s="3">
        <v>7.74</v>
      </c>
      <c r="IH61" s="3">
        <v>8.5</v>
      </c>
      <c r="II61" s="3">
        <v>6.56</v>
      </c>
      <c r="IJ61" s="3">
        <v>0.28999999999999998</v>
      </c>
      <c r="IK61" s="3">
        <v>0.19</v>
      </c>
      <c r="IL61" s="3">
        <v>1.33</v>
      </c>
      <c r="IM61" s="3">
        <v>0.1</v>
      </c>
      <c r="IN61" s="3">
        <v>67.5</v>
      </c>
      <c r="IO61" s="3">
        <v>31.3</v>
      </c>
      <c r="IP61" s="3">
        <v>0.18</v>
      </c>
      <c r="IQ61" s="3">
        <v>76.2</v>
      </c>
      <c r="IR61" s="3">
        <v>22.8</v>
      </c>
      <c r="IS61" s="3">
        <v>53.4</v>
      </c>
      <c r="IT61" s="3">
        <v>4.5</v>
      </c>
      <c r="IU61" s="3">
        <v>18.5</v>
      </c>
      <c r="IV61" s="3">
        <v>1.55</v>
      </c>
      <c r="IW61" s="3">
        <v>11.4</v>
      </c>
      <c r="IX61" s="3">
        <v>52.1</v>
      </c>
      <c r="IY61" s="3">
        <v>88.4</v>
      </c>
      <c r="IZ61" s="3">
        <v>1.81</v>
      </c>
      <c r="JA61" s="3">
        <v>4.8499999999999996</v>
      </c>
      <c r="JB61" s="3">
        <v>15</v>
      </c>
      <c r="JC61" s="3">
        <v>-29.7</v>
      </c>
      <c r="JD61" s="3">
        <v>145</v>
      </c>
      <c r="JE61" s="3">
        <v>231</v>
      </c>
      <c r="JF61" s="3">
        <v>239</v>
      </c>
      <c r="JG61" s="3">
        <v>314</v>
      </c>
      <c r="JH61" s="3">
        <v>58.3</v>
      </c>
      <c r="JI61" s="3">
        <v>-23.9</v>
      </c>
    </row>
    <row r="62" spans="1:269" ht="15.75" x14ac:dyDescent="0.5">
      <c r="A62" t="s">
        <v>55</v>
      </c>
      <c r="B62" s="43">
        <v>242</v>
      </c>
      <c r="C62" s="10">
        <v>29</v>
      </c>
      <c r="E62" t="s">
        <v>77</v>
      </c>
      <c r="H62" s="5"/>
      <c r="I62" s="5"/>
      <c r="R62" s="5"/>
      <c r="AD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GV62">
        <v>29</v>
      </c>
      <c r="GW62" t="s">
        <v>46</v>
      </c>
      <c r="GX62">
        <v>2.33</v>
      </c>
      <c r="GY62">
        <v>9.68</v>
      </c>
      <c r="GZ62">
        <v>0.03</v>
      </c>
      <c r="HA62">
        <v>49.2</v>
      </c>
      <c r="HB62">
        <v>41.1</v>
      </c>
      <c r="HC62">
        <v>87.3</v>
      </c>
      <c r="HD62">
        <v>0.18</v>
      </c>
      <c r="HE62">
        <v>6.09</v>
      </c>
      <c r="HF62">
        <v>7.97</v>
      </c>
      <c r="HG62">
        <v>73.8</v>
      </c>
      <c r="HH62">
        <v>40.5</v>
      </c>
      <c r="HI62">
        <v>5.94</v>
      </c>
      <c r="HJ62">
        <v>37.700000000000003</v>
      </c>
      <c r="HK62">
        <v>29.9</v>
      </c>
      <c r="HL62">
        <v>26.2</v>
      </c>
      <c r="HM62">
        <v>46.5</v>
      </c>
      <c r="HN62">
        <v>33.700000000000003</v>
      </c>
      <c r="HO62">
        <v>17.899999999999999</v>
      </c>
      <c r="HP62">
        <v>34.700000000000003</v>
      </c>
      <c r="HQ62">
        <v>13.8</v>
      </c>
      <c r="HR62">
        <v>37.5</v>
      </c>
      <c r="HS62">
        <v>9.25</v>
      </c>
      <c r="HT62">
        <v>48.7</v>
      </c>
      <c r="HU62">
        <v>3.22</v>
      </c>
      <c r="HV62">
        <v>37.6</v>
      </c>
      <c r="HW62">
        <v>10.5</v>
      </c>
      <c r="HX62">
        <v>32.299999999999997</v>
      </c>
      <c r="HY62">
        <v>2.89</v>
      </c>
      <c r="HZ62">
        <v>12.9</v>
      </c>
      <c r="IA62">
        <v>56.4</v>
      </c>
      <c r="IB62">
        <v>27.9</v>
      </c>
      <c r="IC62">
        <v>6.34</v>
      </c>
      <c r="ID62">
        <v>3.18</v>
      </c>
      <c r="IE62">
        <v>24.9</v>
      </c>
      <c r="IF62">
        <v>57.7</v>
      </c>
      <c r="IG62">
        <v>6.6</v>
      </c>
      <c r="IH62">
        <v>9.85</v>
      </c>
      <c r="II62">
        <v>9.77</v>
      </c>
      <c r="IJ62">
        <v>1.32</v>
      </c>
      <c r="IK62">
        <v>0.78</v>
      </c>
      <c r="IL62">
        <v>26.3</v>
      </c>
      <c r="IM62">
        <v>3.3</v>
      </c>
      <c r="IN62">
        <v>84</v>
      </c>
      <c r="IO62">
        <v>14</v>
      </c>
      <c r="IP62">
        <v>1.92</v>
      </c>
      <c r="IQ62">
        <v>58.2</v>
      </c>
      <c r="IR62">
        <v>13.8</v>
      </c>
      <c r="IS62">
        <v>70.400000000000006</v>
      </c>
      <c r="IT62">
        <v>2.2799999999999998</v>
      </c>
      <c r="IU62">
        <v>20</v>
      </c>
      <c r="IV62">
        <v>1.02</v>
      </c>
      <c r="IW62">
        <v>5.26</v>
      </c>
      <c r="IX62">
        <v>48.2</v>
      </c>
      <c r="IY62">
        <v>80.3</v>
      </c>
      <c r="IZ62">
        <v>0.14000000000000001</v>
      </c>
      <c r="JA62">
        <v>1.41</v>
      </c>
      <c r="JB62">
        <v>14.8</v>
      </c>
      <c r="JC62">
        <v>38</v>
      </c>
      <c r="JD62">
        <v>413</v>
      </c>
      <c r="JE62">
        <v>427</v>
      </c>
      <c r="JF62">
        <v>311</v>
      </c>
      <c r="JG62">
        <v>429</v>
      </c>
      <c r="JH62">
        <v>84.1</v>
      </c>
      <c r="JI62">
        <v>-2.34</v>
      </c>
    </row>
    <row r="63" spans="1:269" ht="15.75" x14ac:dyDescent="0.5">
      <c r="A63" t="s">
        <v>55</v>
      </c>
      <c r="B63" s="43">
        <v>243</v>
      </c>
      <c r="C63" s="10">
        <v>52</v>
      </c>
      <c r="E63" s="3" t="s">
        <v>71</v>
      </c>
      <c r="H63" s="5"/>
      <c r="I63" s="5"/>
      <c r="R63" s="5"/>
      <c r="AD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GV63">
        <v>52</v>
      </c>
      <c r="GW63" s="3" t="s">
        <v>47</v>
      </c>
      <c r="GX63" s="3">
        <v>8.17</v>
      </c>
      <c r="GY63" s="3">
        <v>8.93</v>
      </c>
      <c r="GZ63" s="3">
        <v>0.31</v>
      </c>
      <c r="HA63" s="3">
        <v>30.6</v>
      </c>
      <c r="HB63" s="3">
        <v>60</v>
      </c>
      <c r="HC63" s="3">
        <v>70.400000000000006</v>
      </c>
      <c r="HD63" s="3">
        <v>0.13</v>
      </c>
      <c r="HE63" s="3">
        <v>1.02</v>
      </c>
      <c r="HF63" s="3">
        <v>2.5299999999999998</v>
      </c>
      <c r="HG63" s="3">
        <v>67</v>
      </c>
      <c r="HH63" s="3">
        <v>37.200000000000003</v>
      </c>
      <c r="HI63" s="3">
        <v>2.48</v>
      </c>
      <c r="HJ63" s="3">
        <v>43.9</v>
      </c>
      <c r="HK63" s="3">
        <v>24.1</v>
      </c>
      <c r="HL63" s="3">
        <v>25.5</v>
      </c>
      <c r="HM63" s="3">
        <v>45.5</v>
      </c>
      <c r="HN63" s="3">
        <v>31.6</v>
      </c>
      <c r="HO63" s="3">
        <v>12.7</v>
      </c>
      <c r="HP63" s="3">
        <v>48.7</v>
      </c>
      <c r="HQ63" s="3">
        <v>7.07</v>
      </c>
      <c r="HR63" s="3">
        <v>43.2</v>
      </c>
      <c r="HS63" s="3">
        <v>7.35</v>
      </c>
      <c r="HT63" s="3">
        <v>36.9</v>
      </c>
      <c r="HU63" s="3">
        <v>6.94</v>
      </c>
      <c r="HV63" s="3">
        <v>39.6</v>
      </c>
      <c r="HW63" s="3">
        <v>16.5</v>
      </c>
      <c r="HX63" s="3">
        <v>27.7</v>
      </c>
      <c r="HY63" s="3">
        <v>3.18</v>
      </c>
      <c r="HZ63" s="3">
        <v>15.9</v>
      </c>
      <c r="IA63" s="3">
        <v>68.8</v>
      </c>
      <c r="IB63" s="3">
        <v>10.6</v>
      </c>
      <c r="IC63" s="3">
        <v>19.399999999999999</v>
      </c>
      <c r="ID63" s="3">
        <v>11.1</v>
      </c>
      <c r="IE63" s="3">
        <v>33.9</v>
      </c>
      <c r="IF63" s="3">
        <v>46.6</v>
      </c>
      <c r="IG63" s="3">
        <v>5.47</v>
      </c>
      <c r="IH63" s="3">
        <v>14.9</v>
      </c>
      <c r="II63" s="3">
        <v>12.1</v>
      </c>
      <c r="IJ63" s="3">
        <v>0.42</v>
      </c>
      <c r="IK63" s="3">
        <v>1.1000000000000001</v>
      </c>
      <c r="IL63" s="3">
        <v>2.25</v>
      </c>
      <c r="IM63" s="3">
        <v>1.0900000000000001</v>
      </c>
      <c r="IN63" s="3">
        <v>68.099999999999994</v>
      </c>
      <c r="IO63" s="3">
        <v>30.4</v>
      </c>
      <c r="IP63" s="3">
        <v>1.46</v>
      </c>
      <c r="IQ63" s="3">
        <v>76.099999999999994</v>
      </c>
      <c r="IR63" s="3">
        <v>22.5</v>
      </c>
      <c r="IS63" s="3">
        <v>66.900000000000006</v>
      </c>
      <c r="IT63" s="3">
        <v>4.0599999999999996</v>
      </c>
      <c r="IU63" s="3">
        <v>27.9</v>
      </c>
      <c r="IV63" s="3">
        <v>3.08</v>
      </c>
      <c r="IW63" s="3">
        <v>13.8</v>
      </c>
      <c r="IX63" s="3">
        <v>76.5</v>
      </c>
      <c r="IY63" s="3">
        <v>88.7</v>
      </c>
      <c r="IZ63" s="3">
        <v>3.16</v>
      </c>
      <c r="JA63" s="3">
        <v>4.6100000000000003</v>
      </c>
      <c r="JB63" s="3">
        <v>24.8</v>
      </c>
      <c r="JC63" s="3">
        <v>-67.3</v>
      </c>
      <c r="JD63" s="3">
        <v>243</v>
      </c>
      <c r="JE63" s="3">
        <v>212</v>
      </c>
      <c r="JF63" s="3">
        <v>230</v>
      </c>
      <c r="JG63" s="3">
        <v>367</v>
      </c>
      <c r="JH63" s="3">
        <v>134</v>
      </c>
      <c r="JI63" s="3">
        <v>-11.2</v>
      </c>
    </row>
    <row r="64" spans="1:269" ht="15.75" x14ac:dyDescent="0.5">
      <c r="A64" t="s">
        <v>55</v>
      </c>
      <c r="B64" s="43">
        <v>244</v>
      </c>
      <c r="C64" s="10">
        <v>25</v>
      </c>
      <c r="E64" s="3" t="s">
        <v>71</v>
      </c>
      <c r="H64" s="5"/>
      <c r="I64" s="5"/>
      <c r="R64" s="5"/>
      <c r="AD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GV64">
        <v>25</v>
      </c>
      <c r="GW64" t="s">
        <v>48</v>
      </c>
      <c r="GX64">
        <v>8.27</v>
      </c>
      <c r="GY64">
        <v>6.41</v>
      </c>
      <c r="GZ64">
        <v>1.46</v>
      </c>
      <c r="HA64">
        <v>55.7</v>
      </c>
      <c r="HB64">
        <v>36.4</v>
      </c>
      <c r="HC64">
        <v>75.400000000000006</v>
      </c>
      <c r="HD64">
        <v>6.4000000000000001E-2</v>
      </c>
      <c r="HE64">
        <v>3.71</v>
      </c>
      <c r="HF64">
        <v>12.1</v>
      </c>
      <c r="HG64">
        <v>60.4</v>
      </c>
      <c r="HH64">
        <v>37.6</v>
      </c>
      <c r="HI64">
        <v>6.01</v>
      </c>
      <c r="HJ64">
        <v>36.6</v>
      </c>
      <c r="HK64">
        <v>41.4</v>
      </c>
      <c r="HL64">
        <v>14</v>
      </c>
      <c r="HM64">
        <v>37.9</v>
      </c>
      <c r="HN64">
        <v>40.700000000000003</v>
      </c>
      <c r="HO64">
        <v>0.77</v>
      </c>
      <c r="HP64">
        <v>57.6</v>
      </c>
      <c r="HQ64">
        <v>0.98</v>
      </c>
      <c r="HR64">
        <v>37.6</v>
      </c>
      <c r="HS64">
        <v>18.3</v>
      </c>
      <c r="HT64">
        <v>52.6</v>
      </c>
      <c r="HU64">
        <v>0.52</v>
      </c>
      <c r="HV64">
        <v>46</v>
      </c>
      <c r="HW64">
        <v>0.91</v>
      </c>
      <c r="HX64">
        <v>21.1</v>
      </c>
      <c r="HY64">
        <v>7.08</v>
      </c>
      <c r="HZ64">
        <v>13.5</v>
      </c>
      <c r="IA64">
        <v>14.3</v>
      </c>
      <c r="IB64">
        <v>65</v>
      </c>
      <c r="IC64">
        <v>17.3</v>
      </c>
      <c r="ID64">
        <v>10.3</v>
      </c>
      <c r="IE64">
        <v>18.3</v>
      </c>
      <c r="IF64">
        <v>61.8</v>
      </c>
      <c r="IG64">
        <v>5.84</v>
      </c>
      <c r="IH64">
        <v>15.9</v>
      </c>
      <c r="II64">
        <v>14.9</v>
      </c>
      <c r="IJ64">
        <v>1.01</v>
      </c>
      <c r="IK64">
        <v>1.2</v>
      </c>
      <c r="IL64">
        <v>3.56</v>
      </c>
      <c r="IM64">
        <v>10.7</v>
      </c>
      <c r="IN64">
        <v>88.1</v>
      </c>
      <c r="IO64">
        <v>10</v>
      </c>
      <c r="IP64">
        <v>1.66</v>
      </c>
      <c r="IQ64">
        <v>82.9</v>
      </c>
      <c r="IR64">
        <v>3.41</v>
      </c>
      <c r="IS64">
        <v>57.4</v>
      </c>
      <c r="IT64">
        <v>7.77</v>
      </c>
      <c r="IU64">
        <v>31.2</v>
      </c>
      <c r="IV64">
        <v>0.63</v>
      </c>
      <c r="IW64">
        <v>8.5</v>
      </c>
      <c r="IX64">
        <v>50.8</v>
      </c>
      <c r="IY64">
        <v>52.1</v>
      </c>
      <c r="IZ64">
        <v>0.28999999999999998</v>
      </c>
      <c r="JA64">
        <v>1.31</v>
      </c>
      <c r="JB64">
        <v>3.94</v>
      </c>
      <c r="JC64">
        <v>33.9</v>
      </c>
      <c r="JD64">
        <v>353</v>
      </c>
      <c r="JE64">
        <v>396</v>
      </c>
      <c r="JF64">
        <v>367</v>
      </c>
      <c r="JG64">
        <v>499</v>
      </c>
      <c r="JH64">
        <v>214</v>
      </c>
      <c r="JI64">
        <v>-1.08</v>
      </c>
    </row>
    <row r="67" spans="1:1" ht="15.75" x14ac:dyDescent="0.5">
      <c r="A67" s="28"/>
    </row>
  </sheetData>
  <autoFilter ref="A1:JI68" xr:uid="{E6971834-6528-4B65-991F-6CEF8D8374A0}">
    <sortState xmlns:xlrd2="http://schemas.microsoft.com/office/spreadsheetml/2017/richdata2" ref="A2:JI68">
      <sortCondition descending="1" ref="A1:A6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1F56-6F33-4515-9CD8-30EABBDB95AE}">
  <dimension ref="A1:BM153"/>
  <sheetViews>
    <sheetView tabSelected="1" workbookViewId="0">
      <selection activeCell="I14" sqref="I14"/>
    </sheetView>
  </sheetViews>
  <sheetFormatPr defaultRowHeight="15.75" x14ac:dyDescent="0.5"/>
  <cols>
    <col min="1" max="1" width="4.86328125" style="44" bestFit="1" customWidth="1"/>
  </cols>
  <sheetData>
    <row r="1" spans="1:65" s="12" customFormat="1" x14ac:dyDescent="0.5">
      <c r="A1" s="46" t="s">
        <v>67</v>
      </c>
      <c r="B1" s="45" t="s">
        <v>274</v>
      </c>
      <c r="C1" s="45" t="s">
        <v>275</v>
      </c>
      <c r="D1" s="45" t="s">
        <v>276</v>
      </c>
      <c r="E1" s="45" t="s">
        <v>277</v>
      </c>
      <c r="F1" s="45" t="s">
        <v>278</v>
      </c>
      <c r="G1" s="45" t="s">
        <v>279</v>
      </c>
      <c r="H1" s="45" t="s">
        <v>280</v>
      </c>
      <c r="I1" s="45" t="s">
        <v>281</v>
      </c>
      <c r="J1" s="45" t="s">
        <v>282</v>
      </c>
      <c r="K1" s="45" t="s">
        <v>283</v>
      </c>
      <c r="L1" s="45" t="s">
        <v>284</v>
      </c>
      <c r="M1" s="45" t="s">
        <v>285</v>
      </c>
      <c r="N1" s="45" t="s">
        <v>286</v>
      </c>
      <c r="O1" s="45" t="s">
        <v>287</v>
      </c>
      <c r="P1" s="45" t="s">
        <v>288</v>
      </c>
      <c r="Q1" s="45" t="s">
        <v>289</v>
      </c>
      <c r="R1" s="45" t="s">
        <v>290</v>
      </c>
      <c r="S1" s="45" t="s">
        <v>291</v>
      </c>
      <c r="T1" s="45" t="s">
        <v>292</v>
      </c>
      <c r="U1" s="45" t="s">
        <v>293</v>
      </c>
      <c r="V1" s="45" t="s">
        <v>294</v>
      </c>
      <c r="W1" s="45" t="s">
        <v>295</v>
      </c>
      <c r="X1" s="45" t="s">
        <v>296</v>
      </c>
      <c r="Y1" s="45" t="s">
        <v>297</v>
      </c>
      <c r="Z1" s="45" t="s">
        <v>298</v>
      </c>
      <c r="AA1" s="45" t="s">
        <v>299</v>
      </c>
      <c r="AB1" s="45" t="s">
        <v>300</v>
      </c>
      <c r="AC1" s="45" t="s">
        <v>301</v>
      </c>
      <c r="AD1" s="45" t="s">
        <v>302</v>
      </c>
      <c r="AE1" s="45" t="s">
        <v>303</v>
      </c>
      <c r="AF1" s="45" t="s">
        <v>304</v>
      </c>
      <c r="AG1" s="45" t="s">
        <v>305</v>
      </c>
      <c r="AH1" s="45" t="s">
        <v>306</v>
      </c>
      <c r="AI1" s="45" t="s">
        <v>307</v>
      </c>
      <c r="AJ1" s="45" t="s">
        <v>308</v>
      </c>
      <c r="AK1" s="45" t="s">
        <v>309</v>
      </c>
      <c r="AL1" s="45" t="s">
        <v>310</v>
      </c>
      <c r="AM1" s="45" t="s">
        <v>311</v>
      </c>
      <c r="AN1" s="45" t="s">
        <v>312</v>
      </c>
      <c r="AO1" s="45" t="s">
        <v>313</v>
      </c>
      <c r="AP1" s="45" t="s">
        <v>314</v>
      </c>
      <c r="AQ1" s="45" t="s">
        <v>315</v>
      </c>
      <c r="AR1" s="45" t="s">
        <v>316</v>
      </c>
      <c r="AS1" s="45" t="s">
        <v>317</v>
      </c>
      <c r="AT1" s="45" t="s">
        <v>318</v>
      </c>
      <c r="AU1" s="45" t="s">
        <v>319</v>
      </c>
      <c r="AV1" s="45" t="s">
        <v>320</v>
      </c>
      <c r="AW1" s="45" t="s">
        <v>321</v>
      </c>
      <c r="AX1" s="45" t="s">
        <v>322</v>
      </c>
      <c r="AY1" s="45" t="s">
        <v>323</v>
      </c>
      <c r="AZ1" s="45" t="s">
        <v>324</v>
      </c>
      <c r="BA1" s="45" t="s">
        <v>325</v>
      </c>
      <c r="BB1" s="45" t="s">
        <v>326</v>
      </c>
      <c r="BC1" s="45" t="s">
        <v>327</v>
      </c>
      <c r="BD1" s="45" t="s">
        <v>328</v>
      </c>
      <c r="BE1" s="45" t="s">
        <v>329</v>
      </c>
      <c r="BF1" s="45" t="s">
        <v>330</v>
      </c>
      <c r="BG1" s="45" t="s">
        <v>331</v>
      </c>
      <c r="BH1" s="45" t="s">
        <v>332</v>
      </c>
      <c r="BI1" s="45" t="s">
        <v>333</v>
      </c>
      <c r="BJ1" s="45" t="s">
        <v>334</v>
      </c>
      <c r="BK1" s="45" t="s">
        <v>335</v>
      </c>
      <c r="BL1" s="45" t="s">
        <v>336</v>
      </c>
      <c r="BM1" s="45" t="s">
        <v>337</v>
      </c>
    </row>
    <row r="2" spans="1:65" x14ac:dyDescent="0.5">
      <c r="A2" s="44">
        <v>100</v>
      </c>
      <c r="B2" s="29">
        <v>33.9</v>
      </c>
      <c r="C2" s="29">
        <v>12.9</v>
      </c>
      <c r="D2" s="29">
        <v>1.1000000000000001</v>
      </c>
      <c r="E2" s="29">
        <v>42.1</v>
      </c>
      <c r="F2" s="29">
        <v>43.9</v>
      </c>
      <c r="G2" s="29">
        <v>57.2</v>
      </c>
      <c r="H2" s="29">
        <v>7.2999999999999995E-2</v>
      </c>
      <c r="I2" s="29">
        <v>2.5099999999999998</v>
      </c>
      <c r="J2" s="29">
        <v>3.3</v>
      </c>
      <c r="K2" s="29">
        <v>52.3</v>
      </c>
      <c r="L2" s="29">
        <v>32.200000000000003</v>
      </c>
      <c r="M2" s="29">
        <v>10</v>
      </c>
      <c r="N2" s="29">
        <v>48.4</v>
      </c>
      <c r="O2" s="29">
        <v>31</v>
      </c>
      <c r="P2" s="29">
        <v>10.1</v>
      </c>
      <c r="Q2" s="29">
        <v>35.200000000000003</v>
      </c>
      <c r="R2" s="29">
        <v>80.8</v>
      </c>
      <c r="S2" s="29">
        <v>0.64</v>
      </c>
      <c r="T2" s="29">
        <v>11.1</v>
      </c>
      <c r="U2" s="29">
        <v>7.49</v>
      </c>
      <c r="V2" s="29">
        <v>48</v>
      </c>
      <c r="W2" s="29">
        <v>5.34</v>
      </c>
      <c r="X2" s="29">
        <v>78.900000000000006</v>
      </c>
      <c r="Y2" s="29">
        <v>0.26</v>
      </c>
      <c r="Z2" s="29">
        <v>16.7</v>
      </c>
      <c r="AA2" s="29">
        <v>4.16</v>
      </c>
      <c r="AB2" s="29">
        <v>18.8</v>
      </c>
      <c r="AC2" s="29">
        <v>6.58</v>
      </c>
      <c r="AD2" s="29">
        <v>16.100000000000001</v>
      </c>
      <c r="AE2" s="29">
        <v>29.5</v>
      </c>
      <c r="AF2" s="29">
        <v>47.8</v>
      </c>
      <c r="AG2" s="29">
        <v>4.08</v>
      </c>
      <c r="AH2" s="29">
        <v>2.86</v>
      </c>
      <c r="AI2" s="29">
        <v>3.26</v>
      </c>
      <c r="AJ2" s="29">
        <v>56.1</v>
      </c>
      <c r="AK2" s="29">
        <v>35.5</v>
      </c>
      <c r="AL2" s="29">
        <v>18.7</v>
      </c>
      <c r="AM2" s="29">
        <v>9.6</v>
      </c>
      <c r="AN2" s="29">
        <v>0.15</v>
      </c>
      <c r="AO2" s="29">
        <v>0.52</v>
      </c>
      <c r="AP2" s="29">
        <v>0.4</v>
      </c>
      <c r="AQ2" s="29">
        <v>1.0900000000000001</v>
      </c>
      <c r="AR2" s="29">
        <v>95.3</v>
      </c>
      <c r="AS2" s="29">
        <v>4.3099999999999996</v>
      </c>
      <c r="AT2" s="29">
        <v>0.36</v>
      </c>
      <c r="AU2" s="29">
        <v>92.3</v>
      </c>
      <c r="AV2" s="29">
        <v>6.49</v>
      </c>
      <c r="AW2" s="29">
        <v>52.6</v>
      </c>
      <c r="AX2" s="29">
        <v>1.82</v>
      </c>
      <c r="AY2" s="29">
        <v>42.2</v>
      </c>
      <c r="AZ2" s="29">
        <v>1.06</v>
      </c>
      <c r="BA2" s="29">
        <v>9.1300000000000008</v>
      </c>
      <c r="BB2" s="29">
        <v>42.8</v>
      </c>
      <c r="BC2" s="29">
        <v>65.599999999999994</v>
      </c>
      <c r="BD2" s="29">
        <v>0.3</v>
      </c>
      <c r="BE2" s="29">
        <v>1.85</v>
      </c>
      <c r="BF2" s="29">
        <v>6.73</v>
      </c>
      <c r="BG2" s="29">
        <v>52.2</v>
      </c>
      <c r="BH2" s="29">
        <v>605</v>
      </c>
      <c r="BI2" s="29">
        <v>376</v>
      </c>
      <c r="BJ2" s="29">
        <v>656</v>
      </c>
      <c r="BK2" s="29">
        <v>1213</v>
      </c>
      <c r="BL2" s="29">
        <v>566</v>
      </c>
      <c r="BM2" s="29">
        <v>47.7</v>
      </c>
    </row>
    <row r="3" spans="1:65" x14ac:dyDescent="0.5">
      <c r="A3" s="44">
        <v>101</v>
      </c>
      <c r="B3" s="30">
        <v>12.1</v>
      </c>
      <c r="C3" s="30">
        <v>2.4300000000000002</v>
      </c>
      <c r="D3" s="30">
        <v>0.3</v>
      </c>
      <c r="E3" s="30">
        <v>38</v>
      </c>
      <c r="F3" s="30">
        <v>58.9</v>
      </c>
      <c r="G3" s="30">
        <v>73.5</v>
      </c>
      <c r="H3" s="30">
        <v>0.13</v>
      </c>
      <c r="I3" s="30">
        <v>0.18</v>
      </c>
      <c r="J3" s="30">
        <v>1.91</v>
      </c>
      <c r="K3" s="30">
        <v>71.3</v>
      </c>
      <c r="L3" s="30">
        <v>39.200000000000003</v>
      </c>
      <c r="M3" s="30">
        <v>6.79</v>
      </c>
      <c r="N3" s="30">
        <v>74.5</v>
      </c>
      <c r="O3" s="30">
        <v>13.4</v>
      </c>
      <c r="P3" s="30">
        <v>3.47</v>
      </c>
      <c r="Q3" s="30">
        <v>18</v>
      </c>
      <c r="R3" s="30">
        <v>90.7</v>
      </c>
      <c r="S3" s="30">
        <v>0.68</v>
      </c>
      <c r="T3" s="30">
        <v>3.11</v>
      </c>
      <c r="U3" s="30">
        <v>5.54</v>
      </c>
      <c r="V3" s="30">
        <v>74.900000000000006</v>
      </c>
      <c r="W3" s="30">
        <v>0.24</v>
      </c>
      <c r="X3" s="30">
        <v>78.8</v>
      </c>
      <c r="Y3" s="30">
        <v>0</v>
      </c>
      <c r="Z3" s="30">
        <v>15.2</v>
      </c>
      <c r="AA3" s="30">
        <v>6.06</v>
      </c>
      <c r="AB3" s="30">
        <v>28.2</v>
      </c>
      <c r="AC3" s="30">
        <v>4.7300000000000004</v>
      </c>
      <c r="AD3" s="30">
        <v>1.1200000000000001</v>
      </c>
      <c r="AE3" s="30">
        <v>1.24</v>
      </c>
      <c r="AF3" s="30">
        <v>88.9</v>
      </c>
      <c r="AG3" s="30">
        <v>2.41</v>
      </c>
      <c r="AH3" s="30">
        <v>1.28</v>
      </c>
      <c r="AI3" s="30">
        <v>3.03</v>
      </c>
      <c r="AJ3" s="30">
        <v>93.8</v>
      </c>
      <c r="AK3" s="30">
        <v>1.52</v>
      </c>
      <c r="AL3" s="30">
        <v>50</v>
      </c>
      <c r="AM3" s="30">
        <v>15.4</v>
      </c>
      <c r="AN3" s="30">
        <v>1.61</v>
      </c>
      <c r="AO3" s="30">
        <v>0.75</v>
      </c>
      <c r="AP3" s="30">
        <v>0</v>
      </c>
      <c r="AQ3" s="30">
        <v>7.69</v>
      </c>
      <c r="AR3" s="30">
        <v>80.2</v>
      </c>
      <c r="AS3" s="30">
        <v>14.9</v>
      </c>
      <c r="AT3" s="30">
        <v>4.0999999999999996</v>
      </c>
      <c r="AU3" s="30">
        <v>84.6</v>
      </c>
      <c r="AV3" s="30">
        <v>0</v>
      </c>
      <c r="AW3" s="30">
        <v>7.69</v>
      </c>
      <c r="AX3" s="30">
        <v>23.1</v>
      </c>
      <c r="AY3" s="30">
        <v>69.2</v>
      </c>
      <c r="AZ3" s="30">
        <v>1.49</v>
      </c>
      <c r="BA3" s="30">
        <v>5.91</v>
      </c>
      <c r="BB3" s="30">
        <v>54.5</v>
      </c>
      <c r="BC3" s="30">
        <v>66.900000000000006</v>
      </c>
      <c r="BD3" s="30">
        <v>1.26</v>
      </c>
      <c r="BE3" s="30">
        <v>2.95</v>
      </c>
      <c r="BF3" s="30">
        <v>16.899999999999999</v>
      </c>
      <c r="BG3" s="30">
        <v>30</v>
      </c>
      <c r="BH3" s="30">
        <v>464</v>
      </c>
      <c r="BI3" s="30">
        <v>240</v>
      </c>
      <c r="BJ3" s="30">
        <v>213</v>
      </c>
      <c r="BK3" s="30">
        <v>1422</v>
      </c>
      <c r="BL3" s="30">
        <v>469</v>
      </c>
      <c r="BM3" s="30">
        <v>62.5</v>
      </c>
    </row>
    <row r="4" spans="1:65" x14ac:dyDescent="0.5">
      <c r="A4" s="44">
        <v>102</v>
      </c>
      <c r="B4" s="28">
        <v>14.1</v>
      </c>
      <c r="C4" s="28">
        <v>8.18</v>
      </c>
      <c r="D4" s="28">
        <v>0.31</v>
      </c>
      <c r="E4" s="28">
        <v>39.5</v>
      </c>
      <c r="F4" s="28">
        <v>52</v>
      </c>
      <c r="G4" s="28">
        <v>76.7</v>
      </c>
      <c r="H4" s="28">
        <v>5.7000000000000002E-2</v>
      </c>
      <c r="I4" s="28">
        <v>0.14000000000000001</v>
      </c>
      <c r="J4" s="28">
        <v>0.22</v>
      </c>
      <c r="K4" s="28">
        <v>76.3</v>
      </c>
      <c r="L4" s="28">
        <v>57.8</v>
      </c>
      <c r="M4" s="28">
        <v>14.5</v>
      </c>
      <c r="N4" s="28">
        <v>54.9</v>
      </c>
      <c r="O4" s="28">
        <v>22.7</v>
      </c>
      <c r="P4" s="28">
        <v>6.79</v>
      </c>
      <c r="Q4" s="28">
        <v>25.7</v>
      </c>
      <c r="R4" s="28">
        <v>65.2</v>
      </c>
      <c r="S4" s="28">
        <v>1.24</v>
      </c>
      <c r="T4" s="28">
        <v>24.5</v>
      </c>
      <c r="U4" s="28">
        <v>9.0399999999999991</v>
      </c>
      <c r="V4" s="28">
        <v>55.3</v>
      </c>
      <c r="W4" s="28">
        <v>3.33</v>
      </c>
      <c r="X4" s="28">
        <v>56.3</v>
      </c>
      <c r="Y4" s="28">
        <v>3.05</v>
      </c>
      <c r="Z4" s="28">
        <v>27.5</v>
      </c>
      <c r="AA4" s="28">
        <v>13.1</v>
      </c>
      <c r="AB4" s="28">
        <v>15.1</v>
      </c>
      <c r="AC4" s="28">
        <v>15.4</v>
      </c>
      <c r="AD4" s="28">
        <v>12.9</v>
      </c>
      <c r="AE4" s="28">
        <v>10.6</v>
      </c>
      <c r="AF4" s="28">
        <v>61.1</v>
      </c>
      <c r="AG4" s="28">
        <v>3.79</v>
      </c>
      <c r="AH4" s="28">
        <v>11.4</v>
      </c>
      <c r="AI4" s="28">
        <v>19</v>
      </c>
      <c r="AJ4" s="28">
        <v>42.3</v>
      </c>
      <c r="AK4" s="28">
        <v>19.100000000000001</v>
      </c>
      <c r="AL4" s="28">
        <v>15.5</v>
      </c>
      <c r="AM4" s="28">
        <v>27.2</v>
      </c>
      <c r="AN4" s="28">
        <v>2.85</v>
      </c>
      <c r="AO4" s="28">
        <v>1.66</v>
      </c>
      <c r="AP4" s="28">
        <v>10.4</v>
      </c>
      <c r="AQ4" s="28">
        <v>0.44</v>
      </c>
      <c r="AR4" s="28">
        <v>84.3</v>
      </c>
      <c r="AS4" s="28">
        <v>11.4</v>
      </c>
      <c r="AT4" s="28">
        <v>4.13</v>
      </c>
      <c r="AU4" s="28">
        <v>84.2</v>
      </c>
      <c r="AV4" s="28">
        <v>5.16</v>
      </c>
      <c r="AW4" s="28">
        <v>29.4</v>
      </c>
      <c r="AX4" s="28">
        <v>18.3</v>
      </c>
      <c r="AY4" s="28">
        <v>48.1</v>
      </c>
      <c r="AZ4" s="28">
        <v>1.95</v>
      </c>
      <c r="BA4" s="28">
        <v>8.8000000000000007</v>
      </c>
      <c r="BB4" s="28">
        <v>29.9</v>
      </c>
      <c r="BC4" s="28">
        <v>50.5</v>
      </c>
      <c r="BD4" s="28">
        <v>0.8</v>
      </c>
      <c r="BE4" s="28">
        <v>6.05</v>
      </c>
      <c r="BF4" s="28">
        <v>18.7</v>
      </c>
      <c r="BG4" s="28">
        <v>-14.3</v>
      </c>
      <c r="BH4" s="28">
        <v>487</v>
      </c>
      <c r="BI4" s="28">
        <v>449</v>
      </c>
      <c r="BJ4" s="28">
        <v>90.1</v>
      </c>
      <c r="BK4" s="28">
        <v>716</v>
      </c>
      <c r="BL4" s="28">
        <v>455</v>
      </c>
      <c r="BM4" s="28">
        <v>-38.5</v>
      </c>
    </row>
    <row r="5" spans="1:65" x14ac:dyDescent="0.5">
      <c r="A5" s="44">
        <v>103</v>
      </c>
      <c r="B5" s="31">
        <v>5.59</v>
      </c>
      <c r="C5" s="31">
        <v>3.5</v>
      </c>
      <c r="D5" s="31">
        <v>7.0999999999999994E-2</v>
      </c>
      <c r="E5" s="31">
        <v>52</v>
      </c>
      <c r="F5" s="31">
        <v>44.4</v>
      </c>
      <c r="G5" s="31">
        <v>85.1</v>
      </c>
      <c r="H5" s="32">
        <v>6.2899999999999996E-3</v>
      </c>
      <c r="I5" s="31">
        <v>0.36</v>
      </c>
      <c r="J5" s="31">
        <v>1.03</v>
      </c>
      <c r="K5" s="31">
        <v>83.7</v>
      </c>
      <c r="L5" s="31">
        <v>70.5</v>
      </c>
      <c r="M5" s="31">
        <v>6.61</v>
      </c>
      <c r="N5" s="31">
        <v>37.9</v>
      </c>
      <c r="O5" s="31">
        <v>46.3</v>
      </c>
      <c r="P5" s="31">
        <v>7.45</v>
      </c>
      <c r="Q5" s="31">
        <v>47</v>
      </c>
      <c r="R5" s="31">
        <v>63.7</v>
      </c>
      <c r="S5" s="31">
        <v>4.75</v>
      </c>
      <c r="T5" s="31">
        <v>21.3</v>
      </c>
      <c r="U5" s="31">
        <v>10.199999999999999</v>
      </c>
      <c r="V5" s="31">
        <v>38.6</v>
      </c>
      <c r="W5" s="31">
        <v>6.1</v>
      </c>
      <c r="X5" s="31">
        <v>33.700000000000003</v>
      </c>
      <c r="Y5" s="31">
        <v>6.82</v>
      </c>
      <c r="Z5" s="31">
        <v>31.4</v>
      </c>
      <c r="AA5" s="31">
        <v>28.1</v>
      </c>
      <c r="AB5" s="31">
        <v>9.92</v>
      </c>
      <c r="AC5" s="31">
        <v>15.8</v>
      </c>
      <c r="AD5" s="31">
        <v>29.4</v>
      </c>
      <c r="AE5" s="31">
        <v>38.5</v>
      </c>
      <c r="AF5" s="31">
        <v>16.3</v>
      </c>
      <c r="AG5" s="32">
        <v>1.6299999999999999E-3</v>
      </c>
      <c r="AH5" s="31">
        <v>0</v>
      </c>
      <c r="AI5" s="31">
        <v>0</v>
      </c>
      <c r="AJ5" s="31">
        <v>100</v>
      </c>
      <c r="AK5" s="31">
        <v>0</v>
      </c>
      <c r="AL5" s="31">
        <v>0</v>
      </c>
      <c r="AM5" s="31">
        <v>0</v>
      </c>
      <c r="AN5" s="31">
        <v>0</v>
      </c>
      <c r="AO5" s="31">
        <v>0</v>
      </c>
      <c r="AP5" s="31">
        <v>0</v>
      </c>
      <c r="AQ5" s="31">
        <v>0</v>
      </c>
      <c r="AR5" s="31">
        <v>71.400000000000006</v>
      </c>
      <c r="AS5" s="31">
        <v>14.3</v>
      </c>
      <c r="AT5" s="31">
        <v>14.3</v>
      </c>
      <c r="AU5" s="31">
        <v>0</v>
      </c>
      <c r="AV5" s="31">
        <v>0</v>
      </c>
      <c r="AW5" s="31">
        <v>0</v>
      </c>
      <c r="AX5" s="31">
        <v>0</v>
      </c>
      <c r="AY5" s="31">
        <v>0</v>
      </c>
      <c r="AZ5" s="31">
        <v>3.45</v>
      </c>
      <c r="BA5" s="31">
        <v>5.21</v>
      </c>
      <c r="BB5" s="31">
        <v>38.200000000000003</v>
      </c>
      <c r="BC5" s="31">
        <v>36.200000000000003</v>
      </c>
      <c r="BD5" s="31">
        <v>0.62</v>
      </c>
      <c r="BE5" s="31">
        <v>2.62</v>
      </c>
      <c r="BF5" s="31">
        <v>4.99</v>
      </c>
      <c r="BG5" s="31">
        <v>-23.8</v>
      </c>
      <c r="BH5" s="31">
        <v>368</v>
      </c>
      <c r="BI5" s="31">
        <v>244</v>
      </c>
      <c r="BJ5" s="31">
        <v>190</v>
      </c>
      <c r="BK5" s="31">
        <v>553</v>
      </c>
      <c r="BL5" s="31">
        <v>212</v>
      </c>
      <c r="BM5" s="31">
        <v>90.9</v>
      </c>
    </row>
    <row r="6" spans="1:65" x14ac:dyDescent="0.5">
      <c r="A6" s="44">
        <v>104</v>
      </c>
      <c r="B6" s="31">
        <v>6.13</v>
      </c>
      <c r="C6" s="31">
        <v>2.44</v>
      </c>
      <c r="D6" s="31">
        <v>0.54</v>
      </c>
      <c r="E6" s="31">
        <v>40.799999999999997</v>
      </c>
      <c r="F6" s="31">
        <v>56.2</v>
      </c>
      <c r="G6" s="31">
        <v>88.5</v>
      </c>
      <c r="H6" s="32">
        <v>9.1199999999999996E-3</v>
      </c>
      <c r="I6" s="31">
        <v>3.6999999999999998E-2</v>
      </c>
      <c r="J6" s="31">
        <v>3.85</v>
      </c>
      <c r="K6" s="31">
        <v>84.6</v>
      </c>
      <c r="L6" s="31">
        <v>15.7</v>
      </c>
      <c r="M6" s="31">
        <v>3.95</v>
      </c>
      <c r="N6" s="31">
        <v>27.8</v>
      </c>
      <c r="O6" s="31">
        <v>13.7</v>
      </c>
      <c r="P6" s="31">
        <v>19.600000000000001</v>
      </c>
      <c r="Q6" s="31">
        <v>32.1</v>
      </c>
      <c r="R6" s="31">
        <v>70.599999999999994</v>
      </c>
      <c r="S6" s="31">
        <v>1.33</v>
      </c>
      <c r="T6" s="31">
        <v>22.5</v>
      </c>
      <c r="U6" s="31">
        <v>5.59</v>
      </c>
      <c r="V6" s="31">
        <v>62.8</v>
      </c>
      <c r="W6" s="31">
        <v>0.55000000000000004</v>
      </c>
      <c r="X6" s="31">
        <v>34.799999999999997</v>
      </c>
      <c r="Y6" s="31">
        <v>2.02</v>
      </c>
      <c r="Z6" s="31">
        <v>53</v>
      </c>
      <c r="AA6" s="31">
        <v>10.1</v>
      </c>
      <c r="AB6" s="31">
        <v>65.5</v>
      </c>
      <c r="AC6" s="31">
        <v>0.28000000000000003</v>
      </c>
      <c r="AD6" s="31">
        <v>22.9</v>
      </c>
      <c r="AE6" s="31">
        <v>68.3</v>
      </c>
      <c r="AF6" s="31">
        <v>8.4499999999999993</v>
      </c>
      <c r="AG6" s="31">
        <v>0.42</v>
      </c>
      <c r="AH6" s="31">
        <v>50.5</v>
      </c>
      <c r="AI6" s="31">
        <v>22.3</v>
      </c>
      <c r="AJ6" s="31">
        <v>18.5</v>
      </c>
      <c r="AK6" s="31">
        <v>7.03</v>
      </c>
      <c r="AL6" s="31">
        <v>12</v>
      </c>
      <c r="AM6" s="31">
        <v>27.8</v>
      </c>
      <c r="AN6" s="31">
        <v>9.5</v>
      </c>
      <c r="AO6" s="31">
        <v>15.1</v>
      </c>
      <c r="AP6" s="31">
        <v>32.4</v>
      </c>
      <c r="AQ6" s="31">
        <v>1.47</v>
      </c>
      <c r="AR6" s="31">
        <v>54.2</v>
      </c>
      <c r="AS6" s="31">
        <v>15.1</v>
      </c>
      <c r="AT6" s="31">
        <v>30.2</v>
      </c>
      <c r="AU6" s="31">
        <v>55.9</v>
      </c>
      <c r="AV6" s="31">
        <v>5.88</v>
      </c>
      <c r="AW6" s="31">
        <v>3.7</v>
      </c>
      <c r="AX6" s="31">
        <v>0.46</v>
      </c>
      <c r="AY6" s="31">
        <v>95.4</v>
      </c>
      <c r="AZ6" s="31">
        <v>5.42</v>
      </c>
      <c r="BA6" s="31">
        <v>60.4</v>
      </c>
      <c r="BB6" s="31">
        <v>93</v>
      </c>
      <c r="BC6" s="31">
        <v>95.1</v>
      </c>
      <c r="BD6" s="31">
        <v>48.8</v>
      </c>
      <c r="BE6" s="31">
        <v>5.19</v>
      </c>
      <c r="BF6" s="31">
        <v>57.1</v>
      </c>
      <c r="BG6" s="31">
        <v>-17.2</v>
      </c>
      <c r="BH6" s="31">
        <v>965</v>
      </c>
      <c r="BI6" s="31">
        <v>861</v>
      </c>
      <c r="BJ6" s="31">
        <v>589</v>
      </c>
      <c r="BK6" s="31">
        <v>544</v>
      </c>
      <c r="BL6" s="31">
        <v>93.7</v>
      </c>
      <c r="BM6" s="31">
        <v>-54.4</v>
      </c>
    </row>
    <row r="7" spans="1:65" x14ac:dyDescent="0.5">
      <c r="A7" s="44">
        <v>105</v>
      </c>
      <c r="B7" s="28">
        <v>22.5</v>
      </c>
      <c r="C7" s="28">
        <v>4.07</v>
      </c>
      <c r="D7" s="28">
        <v>0.24</v>
      </c>
      <c r="E7" s="28">
        <v>28.9</v>
      </c>
      <c r="F7" s="28">
        <v>66.8</v>
      </c>
      <c r="G7" s="28">
        <v>57.9</v>
      </c>
      <c r="H7" s="28">
        <v>1.4999999999999999E-2</v>
      </c>
      <c r="I7" s="28">
        <v>1.1599999999999999</v>
      </c>
      <c r="J7" s="28">
        <v>0.52</v>
      </c>
      <c r="K7" s="28">
        <v>56.7</v>
      </c>
      <c r="L7" s="28">
        <v>44.5</v>
      </c>
      <c r="M7" s="28">
        <v>6.33</v>
      </c>
      <c r="N7" s="28">
        <v>54.1</v>
      </c>
      <c r="O7" s="28">
        <v>27</v>
      </c>
      <c r="P7" s="28">
        <v>10.3</v>
      </c>
      <c r="Q7" s="28">
        <v>29.1</v>
      </c>
      <c r="R7" s="28">
        <v>32.1</v>
      </c>
      <c r="S7" s="28">
        <v>26.6</v>
      </c>
      <c r="T7" s="28">
        <v>6.13</v>
      </c>
      <c r="U7" s="28">
        <v>26.2</v>
      </c>
      <c r="V7" s="28">
        <v>54</v>
      </c>
      <c r="W7" s="28">
        <v>7.58</v>
      </c>
      <c r="X7" s="28">
        <v>22.7</v>
      </c>
      <c r="Y7" s="28">
        <v>12.8</v>
      </c>
      <c r="Z7" s="28">
        <v>17.399999999999999</v>
      </c>
      <c r="AA7" s="28">
        <v>47.1</v>
      </c>
      <c r="AB7" s="28">
        <v>11.2</v>
      </c>
      <c r="AC7" s="28">
        <v>4.41</v>
      </c>
      <c r="AD7" s="28">
        <v>6.41</v>
      </c>
      <c r="AE7" s="28">
        <v>17.899999999999999</v>
      </c>
      <c r="AF7" s="28">
        <v>71.3</v>
      </c>
      <c r="AG7" s="28">
        <v>16.399999999999999</v>
      </c>
      <c r="AH7" s="28">
        <v>3.61</v>
      </c>
      <c r="AI7" s="28">
        <v>8.4499999999999993</v>
      </c>
      <c r="AJ7" s="28">
        <v>66.8</v>
      </c>
      <c r="AK7" s="28">
        <v>10.7</v>
      </c>
      <c r="AL7" s="28">
        <v>11</v>
      </c>
      <c r="AM7" s="28">
        <v>45.7</v>
      </c>
      <c r="AN7" s="28">
        <v>0.24</v>
      </c>
      <c r="AO7" s="28">
        <v>0.74</v>
      </c>
      <c r="AP7" s="28">
        <v>5.52</v>
      </c>
      <c r="AQ7" s="28">
        <v>3.95</v>
      </c>
      <c r="AR7" s="28">
        <v>95.1</v>
      </c>
      <c r="AS7" s="28">
        <v>4.3899999999999997</v>
      </c>
      <c r="AT7" s="28">
        <v>0.43</v>
      </c>
      <c r="AU7" s="28">
        <v>83.4</v>
      </c>
      <c r="AV7" s="28">
        <v>8.44</v>
      </c>
      <c r="AW7" s="28">
        <v>34.9</v>
      </c>
      <c r="AX7" s="28">
        <v>3.95</v>
      </c>
      <c r="AY7" s="28">
        <v>57.5</v>
      </c>
      <c r="AZ7" s="28">
        <v>0.43</v>
      </c>
      <c r="BA7" s="28">
        <v>4.53</v>
      </c>
      <c r="BB7" s="28">
        <v>29.8</v>
      </c>
      <c r="BC7" s="28">
        <v>52.7</v>
      </c>
      <c r="BD7" s="28">
        <v>0.59</v>
      </c>
      <c r="BE7" s="28">
        <v>5.88</v>
      </c>
      <c r="BF7" s="28">
        <v>8.0299999999999994</v>
      </c>
      <c r="BG7" s="28">
        <v>81</v>
      </c>
      <c r="BH7" s="28">
        <v>441</v>
      </c>
      <c r="BI7" s="28">
        <v>547</v>
      </c>
      <c r="BJ7" s="28">
        <v>355</v>
      </c>
      <c r="BK7" s="28">
        <v>636</v>
      </c>
      <c r="BL7" s="28">
        <v>235</v>
      </c>
      <c r="BM7" s="28">
        <v>-11</v>
      </c>
    </row>
    <row r="8" spans="1:65" x14ac:dyDescent="0.5">
      <c r="A8" s="44">
        <v>106</v>
      </c>
      <c r="B8" s="29">
        <v>9.5500000000000007</v>
      </c>
      <c r="C8" s="29">
        <v>1.47</v>
      </c>
      <c r="D8" s="33">
        <v>3.64E-3</v>
      </c>
      <c r="E8" s="29">
        <v>70.5</v>
      </c>
      <c r="F8" s="29">
        <v>28.1</v>
      </c>
      <c r="G8" s="29">
        <v>60.7</v>
      </c>
      <c r="H8" s="29">
        <v>1.9E-2</v>
      </c>
      <c r="I8" s="29">
        <v>0.26</v>
      </c>
      <c r="J8" s="29">
        <v>3.78</v>
      </c>
      <c r="K8" s="29">
        <v>56.6</v>
      </c>
      <c r="L8" s="29">
        <v>33</v>
      </c>
      <c r="M8" s="29">
        <v>7.52</v>
      </c>
      <c r="N8" s="29">
        <v>17.100000000000001</v>
      </c>
      <c r="O8" s="29">
        <v>42.4</v>
      </c>
      <c r="P8" s="29">
        <v>31.3</v>
      </c>
      <c r="Q8" s="29">
        <v>67.8</v>
      </c>
      <c r="R8" s="29">
        <v>37.4</v>
      </c>
      <c r="S8" s="29">
        <v>11.1</v>
      </c>
      <c r="T8" s="29">
        <v>15.1</v>
      </c>
      <c r="U8" s="29">
        <v>27.1</v>
      </c>
      <c r="V8" s="29">
        <v>18.3</v>
      </c>
      <c r="W8" s="29">
        <v>5.73</v>
      </c>
      <c r="X8" s="29">
        <v>37.700000000000003</v>
      </c>
      <c r="Y8" s="29">
        <v>9.08</v>
      </c>
      <c r="Z8" s="29">
        <v>26.5</v>
      </c>
      <c r="AA8" s="29">
        <v>26.8</v>
      </c>
      <c r="AB8" s="29">
        <v>22.5</v>
      </c>
      <c r="AC8" s="29">
        <v>4.09</v>
      </c>
      <c r="AD8" s="29">
        <v>23.2</v>
      </c>
      <c r="AE8" s="29">
        <v>33</v>
      </c>
      <c r="AF8" s="29">
        <v>39.6</v>
      </c>
      <c r="AG8" s="29">
        <v>23.9</v>
      </c>
      <c r="AH8" s="29">
        <v>10.6</v>
      </c>
      <c r="AI8" s="29">
        <v>13.8</v>
      </c>
      <c r="AJ8" s="29">
        <v>63.8</v>
      </c>
      <c r="AK8" s="29">
        <v>6.35</v>
      </c>
      <c r="AL8" s="29">
        <v>9.85</v>
      </c>
      <c r="AM8" s="29">
        <v>77</v>
      </c>
      <c r="AN8" s="29">
        <v>0.81</v>
      </c>
      <c r="AO8" s="29">
        <v>5.96</v>
      </c>
      <c r="AP8" s="29">
        <v>10.7</v>
      </c>
      <c r="AQ8" s="29">
        <v>10.3</v>
      </c>
      <c r="AR8" s="29">
        <v>89</v>
      </c>
      <c r="AS8" s="29">
        <v>4.9400000000000004</v>
      </c>
      <c r="AT8" s="29">
        <v>4.57</v>
      </c>
      <c r="AU8" s="29">
        <v>77.5</v>
      </c>
      <c r="AV8" s="29">
        <v>2.41</v>
      </c>
      <c r="AW8" s="29">
        <v>8.1199999999999992</v>
      </c>
      <c r="AX8" s="29">
        <v>6.31</v>
      </c>
      <c r="AY8" s="29">
        <v>83.2</v>
      </c>
      <c r="AZ8" s="29">
        <v>1.21</v>
      </c>
      <c r="BA8" s="29">
        <v>15.9</v>
      </c>
      <c r="BB8" s="29">
        <v>45.8</v>
      </c>
      <c r="BC8" s="29">
        <v>45.9</v>
      </c>
      <c r="BD8" s="29">
        <v>2.21</v>
      </c>
      <c r="BE8" s="29">
        <v>4.07</v>
      </c>
      <c r="BF8" s="29">
        <v>17.8</v>
      </c>
      <c r="BG8" s="29">
        <v>44.2</v>
      </c>
      <c r="BH8" s="29">
        <v>794</v>
      </c>
      <c r="BI8" s="29">
        <v>839</v>
      </c>
      <c r="BJ8" s="29">
        <v>843</v>
      </c>
      <c r="BK8" s="29">
        <v>1217</v>
      </c>
      <c r="BL8" s="29">
        <v>373</v>
      </c>
      <c r="BM8" s="29">
        <v>8.75</v>
      </c>
    </row>
    <row r="9" spans="1:65" x14ac:dyDescent="0.5">
      <c r="A9" s="44">
        <v>107</v>
      </c>
      <c r="B9" s="28">
        <v>0.71</v>
      </c>
      <c r="C9" s="28">
        <v>22.9</v>
      </c>
      <c r="D9" s="28">
        <v>0.67</v>
      </c>
      <c r="E9" s="28">
        <v>53.6</v>
      </c>
      <c r="F9" s="28">
        <v>22.8</v>
      </c>
      <c r="G9" s="28">
        <v>65.099999999999994</v>
      </c>
      <c r="H9" s="34">
        <v>7.2100000000000003E-3</v>
      </c>
      <c r="I9" s="28">
        <v>1.05</v>
      </c>
      <c r="J9" s="28">
        <v>1.62</v>
      </c>
      <c r="K9" s="28">
        <v>62.7</v>
      </c>
      <c r="L9" s="28">
        <v>40.6</v>
      </c>
      <c r="M9" s="28">
        <v>11.3</v>
      </c>
      <c r="N9" s="28">
        <v>58.5</v>
      </c>
      <c r="O9" s="28">
        <v>22.2</v>
      </c>
      <c r="P9" s="28">
        <v>5.26</v>
      </c>
      <c r="Q9" s="28">
        <v>18.899999999999999</v>
      </c>
      <c r="R9" s="28">
        <v>39.799999999999997</v>
      </c>
      <c r="S9" s="28">
        <v>12.6</v>
      </c>
      <c r="T9" s="28">
        <v>24.4</v>
      </c>
      <c r="U9" s="28">
        <v>24.6</v>
      </c>
      <c r="V9" s="28">
        <v>60.8</v>
      </c>
      <c r="W9" s="28">
        <v>9.56</v>
      </c>
      <c r="X9" s="28">
        <v>48.9</v>
      </c>
      <c r="Y9" s="28">
        <v>4.37</v>
      </c>
      <c r="Z9" s="28">
        <v>28.3</v>
      </c>
      <c r="AA9" s="28">
        <v>18.399999999999999</v>
      </c>
      <c r="AB9" s="28">
        <v>20.8</v>
      </c>
      <c r="AC9" s="28">
        <v>2.0499999999999998</v>
      </c>
      <c r="AD9" s="28">
        <v>4.5599999999999996</v>
      </c>
      <c r="AE9" s="28">
        <v>5.4</v>
      </c>
      <c r="AF9" s="28">
        <v>87.9</v>
      </c>
      <c r="AG9" s="28">
        <v>32.1</v>
      </c>
      <c r="AH9" s="28">
        <v>6.99</v>
      </c>
      <c r="AI9" s="28">
        <v>4.93</v>
      </c>
      <c r="AJ9" s="28">
        <v>80.599999999999994</v>
      </c>
      <c r="AK9" s="28">
        <v>5.15</v>
      </c>
      <c r="AL9" s="28">
        <v>6.17</v>
      </c>
      <c r="AM9" s="28">
        <v>51.8</v>
      </c>
      <c r="AN9" s="28">
        <v>0.64</v>
      </c>
      <c r="AO9" s="28">
        <v>0.52</v>
      </c>
      <c r="AP9" s="28">
        <v>5.43</v>
      </c>
      <c r="AQ9" s="28">
        <v>4.41</v>
      </c>
      <c r="AR9" s="28">
        <v>97.4</v>
      </c>
      <c r="AS9" s="28">
        <v>2.0299999999999998</v>
      </c>
      <c r="AT9" s="28">
        <v>0.49</v>
      </c>
      <c r="AU9" s="28">
        <v>92.6</v>
      </c>
      <c r="AV9" s="28">
        <v>1.59</v>
      </c>
      <c r="AW9" s="28">
        <v>36.4</v>
      </c>
      <c r="AX9" s="28">
        <v>2.34</v>
      </c>
      <c r="AY9" s="28">
        <v>58.2</v>
      </c>
      <c r="AZ9" s="28">
        <v>0.15</v>
      </c>
      <c r="BA9" s="28">
        <v>12.1</v>
      </c>
      <c r="BB9" s="28">
        <v>64</v>
      </c>
      <c r="BC9" s="28">
        <v>61.8</v>
      </c>
      <c r="BD9" s="28">
        <v>0.16</v>
      </c>
      <c r="BE9" s="28">
        <v>4.9400000000000004</v>
      </c>
      <c r="BF9" s="28">
        <v>14.4</v>
      </c>
      <c r="BG9" s="28">
        <v>34.6</v>
      </c>
      <c r="BH9" s="28">
        <v>361</v>
      </c>
      <c r="BI9" s="28">
        <v>538</v>
      </c>
      <c r="BJ9" s="28">
        <v>444</v>
      </c>
      <c r="BK9" s="28">
        <v>875</v>
      </c>
      <c r="BL9" s="28">
        <v>531</v>
      </c>
      <c r="BM9" s="28">
        <v>-8.9600000000000009</v>
      </c>
    </row>
    <row r="10" spans="1:65" x14ac:dyDescent="0.5">
      <c r="A10" s="44">
        <v>108</v>
      </c>
      <c r="B10" s="28">
        <v>15</v>
      </c>
      <c r="C10" s="28">
        <v>7.39</v>
      </c>
      <c r="D10" s="28">
        <v>0.37</v>
      </c>
      <c r="E10" s="28">
        <v>34.700000000000003</v>
      </c>
      <c r="F10" s="28">
        <v>57.5</v>
      </c>
      <c r="G10" s="28">
        <v>75</v>
      </c>
      <c r="H10" s="34">
        <v>6.7499999999999999E-3</v>
      </c>
      <c r="I10" s="28">
        <v>6.4000000000000001E-2</v>
      </c>
      <c r="J10" s="28">
        <v>0.71</v>
      </c>
      <c r="K10" s="28">
        <v>74.2</v>
      </c>
      <c r="L10" s="28">
        <v>49.1</v>
      </c>
      <c r="M10" s="28">
        <v>16.3</v>
      </c>
      <c r="N10" s="28">
        <v>49.8</v>
      </c>
      <c r="O10" s="28">
        <v>25.5</v>
      </c>
      <c r="P10" s="28">
        <v>6.44</v>
      </c>
      <c r="Q10" s="28">
        <v>29.9</v>
      </c>
      <c r="R10" s="28">
        <v>89.3</v>
      </c>
      <c r="S10" s="28">
        <v>0.35</v>
      </c>
      <c r="T10" s="28">
        <v>23</v>
      </c>
      <c r="U10" s="28">
        <v>6.68</v>
      </c>
      <c r="V10" s="28">
        <v>51</v>
      </c>
      <c r="W10" s="28">
        <v>3.4</v>
      </c>
      <c r="X10" s="28">
        <v>78.400000000000006</v>
      </c>
      <c r="Y10" s="28">
        <v>0.86</v>
      </c>
      <c r="Z10" s="28">
        <v>12.5</v>
      </c>
      <c r="AA10" s="28">
        <v>8.24</v>
      </c>
      <c r="AB10" s="28">
        <v>24</v>
      </c>
      <c r="AC10" s="28">
        <v>3.5</v>
      </c>
      <c r="AD10" s="28">
        <v>4.3899999999999997</v>
      </c>
      <c r="AE10" s="28">
        <v>9.11</v>
      </c>
      <c r="AF10" s="28">
        <v>82.9</v>
      </c>
      <c r="AG10" s="28">
        <v>7.81</v>
      </c>
      <c r="AH10" s="28">
        <v>27.7</v>
      </c>
      <c r="AI10" s="28">
        <v>7.12</v>
      </c>
      <c r="AJ10" s="28">
        <v>36.5</v>
      </c>
      <c r="AK10" s="28">
        <v>24.8</v>
      </c>
      <c r="AL10" s="28">
        <v>14.2</v>
      </c>
      <c r="AM10" s="28">
        <v>39</v>
      </c>
      <c r="AN10" s="28">
        <v>0.88</v>
      </c>
      <c r="AO10" s="28">
        <v>2.5</v>
      </c>
      <c r="AP10" s="28">
        <v>4.68</v>
      </c>
      <c r="AQ10" s="28">
        <v>0.65</v>
      </c>
      <c r="AR10" s="28">
        <v>93.5</v>
      </c>
      <c r="AS10" s="28">
        <v>2.76</v>
      </c>
      <c r="AT10" s="28">
        <v>2.98</v>
      </c>
      <c r="AU10" s="28">
        <v>94.1</v>
      </c>
      <c r="AV10" s="28">
        <v>1.04</v>
      </c>
      <c r="AW10" s="28">
        <v>10.6</v>
      </c>
      <c r="AX10" s="28">
        <v>24.4</v>
      </c>
      <c r="AY10" s="28">
        <v>63.6</v>
      </c>
      <c r="AZ10" s="28">
        <v>0.9</v>
      </c>
      <c r="BA10" s="28">
        <v>24</v>
      </c>
      <c r="BB10" s="28">
        <v>63.2</v>
      </c>
      <c r="BC10" s="28">
        <v>81.8</v>
      </c>
      <c r="BD10" s="28">
        <v>0.34</v>
      </c>
      <c r="BE10" s="28">
        <v>8.3800000000000008</v>
      </c>
      <c r="BF10" s="28">
        <v>39.1</v>
      </c>
      <c r="BG10" s="28">
        <v>97.8</v>
      </c>
      <c r="BH10" s="28">
        <v>843</v>
      </c>
      <c r="BI10" s="28">
        <v>777</v>
      </c>
      <c r="BJ10" s="28">
        <v>993</v>
      </c>
      <c r="BK10" s="28">
        <v>1304</v>
      </c>
      <c r="BL10" s="28">
        <v>682</v>
      </c>
      <c r="BM10" s="28">
        <v>26</v>
      </c>
    </row>
    <row r="11" spans="1:65" x14ac:dyDescent="0.5">
      <c r="A11" s="44">
        <v>109</v>
      </c>
      <c r="B11" s="31">
        <v>5.21</v>
      </c>
      <c r="C11" s="31">
        <v>9.6199999999999992</v>
      </c>
      <c r="D11" s="31">
        <v>3.4000000000000002E-2</v>
      </c>
      <c r="E11" s="31">
        <v>54.4</v>
      </c>
      <c r="F11" s="31">
        <v>36</v>
      </c>
      <c r="G11" s="31">
        <v>81.7</v>
      </c>
      <c r="H11" s="31">
        <v>1.4E-2</v>
      </c>
      <c r="I11" s="31">
        <v>0.72</v>
      </c>
      <c r="J11" s="31">
        <v>1.45</v>
      </c>
      <c r="K11" s="31">
        <v>79.599999999999994</v>
      </c>
      <c r="L11" s="31">
        <v>57.2</v>
      </c>
      <c r="M11" s="31">
        <v>6.31</v>
      </c>
      <c r="N11" s="31">
        <v>67.099999999999994</v>
      </c>
      <c r="O11" s="31">
        <v>23.6</v>
      </c>
      <c r="P11" s="31">
        <v>3.47</v>
      </c>
      <c r="Q11" s="31">
        <v>26.3</v>
      </c>
      <c r="R11" s="31">
        <v>95.8</v>
      </c>
      <c r="S11" s="31">
        <v>4.4999999999999998E-2</v>
      </c>
      <c r="T11" s="31">
        <v>4.12</v>
      </c>
      <c r="U11" s="31">
        <v>4.2000000000000003E-2</v>
      </c>
      <c r="V11" s="31">
        <v>66.5</v>
      </c>
      <c r="W11" s="31">
        <v>0.25</v>
      </c>
      <c r="X11" s="31">
        <v>85.8</v>
      </c>
      <c r="Y11" s="31">
        <v>2.79</v>
      </c>
      <c r="Z11" s="31">
        <v>11.1</v>
      </c>
      <c r="AA11" s="31">
        <v>0.31</v>
      </c>
      <c r="AB11" s="31">
        <v>20.9</v>
      </c>
      <c r="AC11" s="31">
        <v>3.37</v>
      </c>
      <c r="AD11" s="31">
        <v>2.14</v>
      </c>
      <c r="AE11" s="31">
        <v>4.78</v>
      </c>
      <c r="AF11" s="31">
        <v>89.7</v>
      </c>
      <c r="AG11" s="31">
        <v>8.94</v>
      </c>
      <c r="AH11" s="31">
        <v>5.3</v>
      </c>
      <c r="AI11" s="31">
        <v>11.8</v>
      </c>
      <c r="AJ11" s="31">
        <v>53.1</v>
      </c>
      <c r="AK11" s="31">
        <v>22</v>
      </c>
      <c r="AL11" s="31">
        <v>27.6</v>
      </c>
      <c r="AM11" s="31">
        <v>12.7</v>
      </c>
      <c r="AN11" s="31">
        <v>2.71</v>
      </c>
      <c r="AO11" s="31">
        <v>0.97</v>
      </c>
      <c r="AP11" s="31">
        <v>10.6</v>
      </c>
      <c r="AQ11" s="31">
        <v>1.99</v>
      </c>
      <c r="AR11" s="31">
        <v>94.1</v>
      </c>
      <c r="AS11" s="31">
        <v>2.1</v>
      </c>
      <c r="AT11" s="31">
        <v>2.52</v>
      </c>
      <c r="AU11" s="31">
        <v>86.1</v>
      </c>
      <c r="AV11" s="31">
        <v>2.2000000000000002</v>
      </c>
      <c r="AW11" s="31">
        <v>38.4</v>
      </c>
      <c r="AX11" s="31">
        <v>10.6</v>
      </c>
      <c r="AY11" s="31">
        <v>46.4</v>
      </c>
      <c r="AZ11" s="31">
        <v>0.47</v>
      </c>
      <c r="BA11" s="31">
        <v>6.32</v>
      </c>
      <c r="BB11" s="31">
        <v>47.4</v>
      </c>
      <c r="BC11" s="31">
        <v>39.9</v>
      </c>
      <c r="BD11" s="31">
        <v>0.43</v>
      </c>
      <c r="BE11" s="31">
        <v>2.83</v>
      </c>
      <c r="BF11" s="31">
        <v>10.6</v>
      </c>
      <c r="BG11" s="31">
        <v>40.700000000000003</v>
      </c>
      <c r="BH11" s="31">
        <v>383</v>
      </c>
      <c r="BI11" s="31">
        <v>220</v>
      </c>
      <c r="BJ11" s="31">
        <v>286</v>
      </c>
      <c r="BK11" s="31">
        <v>760</v>
      </c>
      <c r="BL11" s="31">
        <v>303</v>
      </c>
      <c r="BM11" s="31">
        <v>9.09</v>
      </c>
    </row>
    <row r="12" spans="1:65" x14ac:dyDescent="0.5">
      <c r="A12" s="44">
        <v>110</v>
      </c>
      <c r="B12" s="30">
        <v>6.95</v>
      </c>
      <c r="C12" s="30">
        <v>1.78</v>
      </c>
      <c r="D12" s="30">
        <v>0.14000000000000001</v>
      </c>
      <c r="E12" s="30">
        <v>51.6</v>
      </c>
      <c r="F12" s="30">
        <v>45.6</v>
      </c>
      <c r="G12" s="30">
        <v>65.7</v>
      </c>
      <c r="H12" s="30">
        <v>7.9000000000000001E-2</v>
      </c>
      <c r="I12" s="30">
        <v>1.04</v>
      </c>
      <c r="J12" s="30">
        <v>2.83</v>
      </c>
      <c r="K12" s="30">
        <v>62</v>
      </c>
      <c r="L12" s="30">
        <v>19</v>
      </c>
      <c r="M12" s="30">
        <v>28.2</v>
      </c>
      <c r="N12" s="30">
        <v>22.8</v>
      </c>
      <c r="O12" s="30">
        <v>34.5</v>
      </c>
      <c r="P12" s="30">
        <v>13.8</v>
      </c>
      <c r="Q12" s="30">
        <v>39.299999999999997</v>
      </c>
      <c r="R12" s="30">
        <v>32.299999999999997</v>
      </c>
      <c r="S12" s="30">
        <v>17.2</v>
      </c>
      <c r="T12" s="30">
        <v>30.1</v>
      </c>
      <c r="U12" s="30">
        <v>20.5</v>
      </c>
      <c r="V12" s="30">
        <v>19.3</v>
      </c>
      <c r="W12" s="30">
        <v>7.43</v>
      </c>
      <c r="X12" s="30">
        <v>27.5</v>
      </c>
      <c r="Y12" s="30">
        <v>9.14</v>
      </c>
      <c r="Z12" s="30">
        <v>51</v>
      </c>
      <c r="AA12" s="30">
        <v>12.4</v>
      </c>
      <c r="AB12" s="30">
        <v>41</v>
      </c>
      <c r="AC12" s="30">
        <v>3.48</v>
      </c>
      <c r="AD12" s="30">
        <v>8.84</v>
      </c>
      <c r="AE12" s="30">
        <v>69.400000000000006</v>
      </c>
      <c r="AF12" s="30">
        <v>15.4</v>
      </c>
      <c r="AG12" s="30">
        <v>19.2</v>
      </c>
      <c r="AH12" s="30">
        <v>16.600000000000001</v>
      </c>
      <c r="AI12" s="30">
        <v>4.0599999999999996</v>
      </c>
      <c r="AJ12" s="30">
        <v>59.9</v>
      </c>
      <c r="AK12" s="30">
        <v>17.2</v>
      </c>
      <c r="AL12" s="30">
        <v>18.2</v>
      </c>
      <c r="AM12" s="30">
        <v>55.3</v>
      </c>
      <c r="AN12" s="30">
        <v>2.44</v>
      </c>
      <c r="AO12" s="30">
        <v>9.69</v>
      </c>
      <c r="AP12" s="30">
        <v>1.1100000000000001</v>
      </c>
      <c r="AQ12" s="30">
        <v>0.92</v>
      </c>
      <c r="AR12" s="30">
        <v>74.7</v>
      </c>
      <c r="AS12" s="30">
        <v>12.8</v>
      </c>
      <c r="AT12" s="30">
        <v>12.2</v>
      </c>
      <c r="AU12" s="30">
        <v>81.2</v>
      </c>
      <c r="AV12" s="30">
        <v>17.8</v>
      </c>
      <c r="AW12" s="30">
        <v>4.46</v>
      </c>
      <c r="AX12" s="30">
        <v>3.8</v>
      </c>
      <c r="AY12" s="30">
        <v>88.3</v>
      </c>
      <c r="AZ12" s="30">
        <v>3.58</v>
      </c>
      <c r="BA12" s="30">
        <v>22.7</v>
      </c>
      <c r="BB12" s="30">
        <v>52.8</v>
      </c>
      <c r="BC12" s="30">
        <v>66.3</v>
      </c>
      <c r="BD12" s="30">
        <v>2.11</v>
      </c>
      <c r="BE12" s="30">
        <v>5.86</v>
      </c>
      <c r="BF12" s="30">
        <v>31.1</v>
      </c>
      <c r="BG12" s="30">
        <v>105</v>
      </c>
      <c r="BH12" s="30">
        <v>575</v>
      </c>
      <c r="BI12" s="30">
        <v>568</v>
      </c>
      <c r="BJ12" s="30">
        <v>535</v>
      </c>
      <c r="BK12" s="30">
        <v>633</v>
      </c>
      <c r="BL12" s="30">
        <v>232</v>
      </c>
      <c r="BM12" s="30">
        <v>60.2</v>
      </c>
    </row>
    <row r="13" spans="1:65" x14ac:dyDescent="0.5">
      <c r="A13" s="44">
        <v>111</v>
      </c>
      <c r="B13" s="28">
        <v>7.87</v>
      </c>
      <c r="C13" s="28">
        <v>6.12</v>
      </c>
      <c r="D13" s="28">
        <v>0.36</v>
      </c>
      <c r="E13" s="28">
        <v>47.5</v>
      </c>
      <c r="F13" s="28">
        <v>46</v>
      </c>
      <c r="G13" s="28">
        <v>73.3</v>
      </c>
      <c r="H13" s="28">
        <v>0.3</v>
      </c>
      <c r="I13" s="28">
        <v>0.27</v>
      </c>
      <c r="J13" s="28">
        <v>2.5099999999999998</v>
      </c>
      <c r="K13" s="28">
        <v>70.3</v>
      </c>
      <c r="L13" s="28">
        <v>50.5</v>
      </c>
      <c r="M13" s="28">
        <v>8.76</v>
      </c>
      <c r="N13" s="28">
        <v>53.6</v>
      </c>
      <c r="O13" s="28">
        <v>32.5</v>
      </c>
      <c r="P13" s="28">
        <v>2.81</v>
      </c>
      <c r="Q13" s="28">
        <v>26.3</v>
      </c>
      <c r="R13" s="28">
        <v>82.3</v>
      </c>
      <c r="S13" s="28">
        <v>0.76</v>
      </c>
      <c r="T13" s="28">
        <v>4.12</v>
      </c>
      <c r="U13" s="28">
        <v>10.5</v>
      </c>
      <c r="V13" s="28">
        <v>55.5</v>
      </c>
      <c r="W13" s="28">
        <v>8.6199999999999992</v>
      </c>
      <c r="X13" s="28">
        <v>65</v>
      </c>
      <c r="Y13" s="28">
        <v>2.1</v>
      </c>
      <c r="Z13" s="28">
        <v>17.600000000000001</v>
      </c>
      <c r="AA13" s="28">
        <v>15.4</v>
      </c>
      <c r="AB13" s="28">
        <v>15.2</v>
      </c>
      <c r="AC13" s="28">
        <v>3.51</v>
      </c>
      <c r="AD13" s="28">
        <v>4.0199999999999996</v>
      </c>
      <c r="AE13" s="28">
        <v>5.68</v>
      </c>
      <c r="AF13" s="28">
        <v>86.8</v>
      </c>
      <c r="AG13" s="28">
        <v>16.899999999999999</v>
      </c>
      <c r="AH13" s="28">
        <v>2.67</v>
      </c>
      <c r="AI13" s="28">
        <v>7.36</v>
      </c>
      <c r="AJ13" s="28">
        <v>84.4</v>
      </c>
      <c r="AK13" s="28">
        <v>5.42</v>
      </c>
      <c r="AL13" s="28">
        <v>8.4</v>
      </c>
      <c r="AM13" s="28">
        <v>16.3</v>
      </c>
      <c r="AN13" s="28">
        <v>0.26</v>
      </c>
      <c r="AO13" s="28">
        <v>1.2</v>
      </c>
      <c r="AP13" s="28">
        <v>0.93</v>
      </c>
      <c r="AQ13" s="28">
        <v>0.9</v>
      </c>
      <c r="AR13" s="28">
        <v>92.4</v>
      </c>
      <c r="AS13" s="28">
        <v>0.19</v>
      </c>
      <c r="AT13" s="28">
        <v>0.86</v>
      </c>
      <c r="AU13" s="28">
        <v>96.6</v>
      </c>
      <c r="AV13" s="28">
        <v>2.62</v>
      </c>
      <c r="AW13" s="28">
        <v>64.2</v>
      </c>
      <c r="AX13" s="28">
        <v>1.7</v>
      </c>
      <c r="AY13" s="28">
        <v>24.3</v>
      </c>
      <c r="AZ13" s="28">
        <v>0.31</v>
      </c>
      <c r="BA13" s="28">
        <v>8.35</v>
      </c>
      <c r="BB13" s="28">
        <v>44.9</v>
      </c>
      <c r="BC13" s="28">
        <v>79.5</v>
      </c>
      <c r="BD13" s="28">
        <v>0.21</v>
      </c>
      <c r="BE13" s="28">
        <v>1.28</v>
      </c>
      <c r="BF13" s="28">
        <v>4.7699999999999996</v>
      </c>
      <c r="BG13" s="28">
        <v>-84.7</v>
      </c>
      <c r="BH13" s="28">
        <v>496</v>
      </c>
      <c r="BI13" s="28">
        <v>416</v>
      </c>
      <c r="BJ13" s="28">
        <v>787</v>
      </c>
      <c r="BK13" s="28">
        <v>856</v>
      </c>
      <c r="BL13" s="28">
        <v>182</v>
      </c>
      <c r="BM13" s="28">
        <v>46</v>
      </c>
    </row>
    <row r="14" spans="1:65" x14ac:dyDescent="0.5">
      <c r="A14" s="44">
        <v>112</v>
      </c>
      <c r="B14" s="29">
        <v>10.7</v>
      </c>
      <c r="C14" s="29">
        <v>3.01</v>
      </c>
      <c r="D14" s="29">
        <v>0.03</v>
      </c>
      <c r="E14" s="29">
        <v>46.1</v>
      </c>
      <c r="F14" s="29">
        <v>50.9</v>
      </c>
      <c r="G14" s="29">
        <v>53.7</v>
      </c>
      <c r="H14" s="33">
        <v>7.0800000000000004E-3</v>
      </c>
      <c r="I14" s="29">
        <v>0.28000000000000003</v>
      </c>
      <c r="J14" s="29">
        <v>2.5499999999999998</v>
      </c>
      <c r="K14" s="29">
        <v>51</v>
      </c>
      <c r="L14" s="29">
        <v>31.4</v>
      </c>
      <c r="M14" s="29">
        <v>5.96</v>
      </c>
      <c r="N14" s="29">
        <v>60.9</v>
      </c>
      <c r="O14" s="29">
        <v>17.899999999999999</v>
      </c>
      <c r="P14" s="29">
        <v>14.5</v>
      </c>
      <c r="Q14" s="29">
        <v>26.5</v>
      </c>
      <c r="R14" s="29">
        <v>84.1</v>
      </c>
      <c r="S14" s="29">
        <v>0.63</v>
      </c>
      <c r="T14" s="29">
        <v>6.38</v>
      </c>
      <c r="U14" s="29">
        <v>6.56</v>
      </c>
      <c r="V14" s="29">
        <v>59.7</v>
      </c>
      <c r="W14" s="29">
        <v>5.6</v>
      </c>
      <c r="X14" s="29">
        <v>61.6</v>
      </c>
      <c r="Y14" s="29">
        <v>1.29</v>
      </c>
      <c r="Z14" s="29">
        <v>24.5</v>
      </c>
      <c r="AA14" s="29">
        <v>12.6</v>
      </c>
      <c r="AB14" s="29">
        <v>18.100000000000001</v>
      </c>
      <c r="AC14" s="29">
        <v>3.73</v>
      </c>
      <c r="AD14" s="29">
        <v>22.8</v>
      </c>
      <c r="AE14" s="29">
        <v>26</v>
      </c>
      <c r="AF14" s="29">
        <v>47.5</v>
      </c>
      <c r="AG14" s="29">
        <v>33.200000000000003</v>
      </c>
      <c r="AH14" s="29">
        <v>0.88</v>
      </c>
      <c r="AI14" s="29">
        <v>5.08</v>
      </c>
      <c r="AJ14" s="29">
        <v>92.8</v>
      </c>
      <c r="AK14" s="29">
        <v>1.18</v>
      </c>
      <c r="AL14" s="29">
        <v>15.9</v>
      </c>
      <c r="AM14" s="29">
        <v>24.5</v>
      </c>
      <c r="AN14" s="29">
        <v>0.53</v>
      </c>
      <c r="AO14" s="29">
        <v>0.6</v>
      </c>
      <c r="AP14" s="29">
        <v>2.98</v>
      </c>
      <c r="AQ14" s="29">
        <v>2.29</v>
      </c>
      <c r="AR14" s="29">
        <v>94</v>
      </c>
      <c r="AS14" s="29">
        <v>0.11</v>
      </c>
      <c r="AT14" s="29">
        <v>0.61</v>
      </c>
      <c r="AU14" s="29">
        <v>85.9</v>
      </c>
      <c r="AV14" s="29">
        <v>11.2</v>
      </c>
      <c r="AW14" s="29">
        <v>52.9</v>
      </c>
      <c r="AX14" s="29">
        <v>2.25</v>
      </c>
      <c r="AY14" s="29">
        <v>38.9</v>
      </c>
      <c r="AZ14" s="29">
        <v>1.1599999999999999</v>
      </c>
      <c r="BA14" s="29">
        <v>24.6</v>
      </c>
      <c r="BB14" s="29">
        <v>54.9</v>
      </c>
      <c r="BC14" s="29">
        <v>78.2</v>
      </c>
      <c r="BD14" s="29">
        <v>0.17</v>
      </c>
      <c r="BE14" s="29">
        <v>4.6500000000000004</v>
      </c>
      <c r="BF14" s="29">
        <v>60.5</v>
      </c>
      <c r="BG14" s="29">
        <v>-79.400000000000006</v>
      </c>
      <c r="BH14" s="29">
        <v>789</v>
      </c>
      <c r="BI14" s="29">
        <v>831</v>
      </c>
      <c r="BJ14" s="29">
        <v>789</v>
      </c>
      <c r="BK14" s="29">
        <v>630</v>
      </c>
      <c r="BL14" s="29">
        <v>172</v>
      </c>
      <c r="BM14" s="29">
        <v>67.400000000000006</v>
      </c>
    </row>
    <row r="15" spans="1:65" x14ac:dyDescent="0.5">
      <c r="A15" s="44">
        <v>113</v>
      </c>
      <c r="B15" s="28">
        <v>5.55</v>
      </c>
      <c r="C15" s="28">
        <v>11.8</v>
      </c>
      <c r="D15" s="28">
        <v>9.2999999999999999E-2</v>
      </c>
      <c r="E15" s="28">
        <v>53.2</v>
      </c>
      <c r="F15" s="28">
        <v>34.9</v>
      </c>
      <c r="G15" s="28">
        <v>79.3</v>
      </c>
      <c r="H15" s="34">
        <v>4.4099999999999999E-3</v>
      </c>
      <c r="I15" s="28">
        <v>0.02</v>
      </c>
      <c r="J15" s="28">
        <v>4.91</v>
      </c>
      <c r="K15" s="28">
        <v>74.3</v>
      </c>
      <c r="L15" s="28">
        <v>45.5</v>
      </c>
      <c r="M15" s="28">
        <v>24.7</v>
      </c>
      <c r="N15" s="28">
        <v>16.899999999999999</v>
      </c>
      <c r="O15" s="28">
        <v>31.7</v>
      </c>
      <c r="P15" s="28">
        <v>23</v>
      </c>
      <c r="Q15" s="28">
        <v>49.3</v>
      </c>
      <c r="R15" s="28">
        <v>68.7</v>
      </c>
      <c r="S15" s="28">
        <v>1.23</v>
      </c>
      <c r="T15" s="28">
        <v>8.69</v>
      </c>
      <c r="U15" s="28">
        <v>5.0599999999999996</v>
      </c>
      <c r="V15" s="28">
        <v>19.8</v>
      </c>
      <c r="W15" s="28">
        <v>5.07</v>
      </c>
      <c r="X15" s="28">
        <v>35.4</v>
      </c>
      <c r="Y15" s="28">
        <v>3.31</v>
      </c>
      <c r="Z15" s="28">
        <v>51.7</v>
      </c>
      <c r="AA15" s="28">
        <v>9.58</v>
      </c>
      <c r="AB15" s="28">
        <v>24.5</v>
      </c>
      <c r="AC15" s="28">
        <v>9.7100000000000009</v>
      </c>
      <c r="AD15" s="28">
        <v>33.299999999999997</v>
      </c>
      <c r="AE15" s="28">
        <v>31.8</v>
      </c>
      <c r="AF15" s="28">
        <v>25.2</v>
      </c>
      <c r="AG15" s="28">
        <v>10.199999999999999</v>
      </c>
      <c r="AH15" s="28">
        <v>24.5</v>
      </c>
      <c r="AI15" s="28">
        <v>9.6300000000000008</v>
      </c>
      <c r="AJ15" s="28">
        <v>54.6</v>
      </c>
      <c r="AK15" s="28">
        <v>9.68</v>
      </c>
      <c r="AL15" s="28">
        <v>9.3800000000000008</v>
      </c>
      <c r="AM15" s="28">
        <v>22.7</v>
      </c>
      <c r="AN15" s="28">
        <v>0.52</v>
      </c>
      <c r="AO15" s="28">
        <v>2.33</v>
      </c>
      <c r="AP15" s="28">
        <v>3.58</v>
      </c>
      <c r="AQ15" s="28">
        <v>0.9</v>
      </c>
      <c r="AR15" s="28">
        <v>92.5</v>
      </c>
      <c r="AS15" s="28">
        <v>4.68</v>
      </c>
      <c r="AT15" s="28">
        <v>2.62</v>
      </c>
      <c r="AU15" s="28">
        <v>89.3</v>
      </c>
      <c r="AV15" s="28">
        <v>4.78</v>
      </c>
      <c r="AW15" s="28">
        <v>40.4</v>
      </c>
      <c r="AX15" s="28">
        <v>15.5</v>
      </c>
      <c r="AY15" s="28">
        <v>39.299999999999997</v>
      </c>
      <c r="AZ15" s="28">
        <v>0.96</v>
      </c>
      <c r="BA15" s="28">
        <v>1.67</v>
      </c>
      <c r="BB15" s="28">
        <v>35.4</v>
      </c>
      <c r="BC15" s="28">
        <v>66.2</v>
      </c>
      <c r="BD15" s="28">
        <v>1.1499999999999999</v>
      </c>
      <c r="BE15" s="28">
        <v>2.62</v>
      </c>
      <c r="BF15" s="28">
        <v>8.61</v>
      </c>
      <c r="BG15" s="28">
        <v>-11.3</v>
      </c>
      <c r="BH15" s="28">
        <v>1217</v>
      </c>
      <c r="BI15" s="28">
        <v>931</v>
      </c>
      <c r="BJ15" s="28">
        <v>162</v>
      </c>
      <c r="BK15" s="28">
        <v>806</v>
      </c>
      <c r="BL15" s="28">
        <v>555</v>
      </c>
      <c r="BM15" s="28">
        <v>-29.1</v>
      </c>
    </row>
    <row r="16" spans="1:65" x14ac:dyDescent="0.5">
      <c r="A16" s="44">
        <v>114</v>
      </c>
      <c r="B16" s="35">
        <v>7</v>
      </c>
      <c r="C16" s="35">
        <v>5.31</v>
      </c>
      <c r="D16" s="35">
        <v>0.34</v>
      </c>
      <c r="E16" s="35">
        <v>43.7</v>
      </c>
      <c r="F16" s="35">
        <v>50.6</v>
      </c>
      <c r="G16" s="35">
        <v>65.099999999999994</v>
      </c>
      <c r="H16" s="35">
        <v>2.5999999999999999E-2</v>
      </c>
      <c r="I16" s="35">
        <v>0.75</v>
      </c>
      <c r="J16" s="35">
        <v>5.04</v>
      </c>
      <c r="K16" s="35">
        <v>59.5</v>
      </c>
      <c r="L16" s="35">
        <v>38.200000000000003</v>
      </c>
      <c r="M16" s="35">
        <v>8.9600000000000009</v>
      </c>
      <c r="N16" s="35">
        <v>58.7</v>
      </c>
      <c r="O16" s="35">
        <v>23.4</v>
      </c>
      <c r="P16" s="35">
        <v>7.37</v>
      </c>
      <c r="Q16" s="35">
        <v>25.3</v>
      </c>
      <c r="R16" s="35">
        <v>47.9</v>
      </c>
      <c r="S16" s="35">
        <v>9.3699999999999992</v>
      </c>
      <c r="T16" s="35">
        <v>25.1</v>
      </c>
      <c r="U16" s="35">
        <v>21</v>
      </c>
      <c r="V16" s="35">
        <v>59.4</v>
      </c>
      <c r="W16" s="35">
        <v>4.99</v>
      </c>
      <c r="X16" s="35">
        <v>49</v>
      </c>
      <c r="Y16" s="35">
        <v>5.43</v>
      </c>
      <c r="Z16" s="35">
        <v>25.6</v>
      </c>
      <c r="AA16" s="35">
        <v>19.899999999999999</v>
      </c>
      <c r="AB16" s="35">
        <v>18.8</v>
      </c>
      <c r="AC16" s="35">
        <v>2.74</v>
      </c>
      <c r="AD16" s="35">
        <v>16.7</v>
      </c>
      <c r="AE16" s="35">
        <v>12.2</v>
      </c>
      <c r="AF16" s="35">
        <v>68.2</v>
      </c>
      <c r="AG16" s="35">
        <v>24.1</v>
      </c>
      <c r="AH16" s="35">
        <v>3.53</v>
      </c>
      <c r="AI16" s="35">
        <v>6.14</v>
      </c>
      <c r="AJ16" s="35">
        <v>75.7</v>
      </c>
      <c r="AK16" s="35">
        <v>13.5</v>
      </c>
      <c r="AL16" s="35">
        <v>4.1399999999999997</v>
      </c>
      <c r="AM16" s="35">
        <v>31.7</v>
      </c>
      <c r="AN16" s="35">
        <v>0.27</v>
      </c>
      <c r="AO16" s="35">
        <v>0.63</v>
      </c>
      <c r="AP16" s="35">
        <v>1.68</v>
      </c>
      <c r="AQ16" s="35">
        <v>0.42</v>
      </c>
      <c r="AR16" s="35">
        <v>86.5</v>
      </c>
      <c r="AS16" s="35">
        <v>12.9</v>
      </c>
      <c r="AT16" s="35">
        <v>0.61</v>
      </c>
      <c r="AU16" s="35">
        <v>87.8</v>
      </c>
      <c r="AV16" s="35">
        <v>11.1</v>
      </c>
      <c r="AW16" s="35">
        <v>48.3</v>
      </c>
      <c r="AX16" s="35">
        <v>3.22</v>
      </c>
      <c r="AY16" s="35">
        <v>40.1</v>
      </c>
      <c r="AZ16" s="35">
        <v>0.39</v>
      </c>
      <c r="BA16" s="35">
        <v>12.2</v>
      </c>
      <c r="BB16" s="35">
        <v>40.9</v>
      </c>
      <c r="BC16" s="35">
        <v>37.200000000000003</v>
      </c>
      <c r="BD16" s="35">
        <v>0.25</v>
      </c>
      <c r="BE16" s="35">
        <v>3.38</v>
      </c>
      <c r="BF16" s="35">
        <v>6.24</v>
      </c>
      <c r="BG16" s="35">
        <v>21.2</v>
      </c>
      <c r="BH16" s="35">
        <v>608</v>
      </c>
      <c r="BI16" s="35">
        <v>701</v>
      </c>
      <c r="BJ16" s="35">
        <v>800</v>
      </c>
      <c r="BK16" s="35">
        <v>1216</v>
      </c>
      <c r="BL16" s="35">
        <v>499</v>
      </c>
      <c r="BM16" s="35">
        <v>-2.98</v>
      </c>
    </row>
    <row r="17" spans="1:65" x14ac:dyDescent="0.5">
      <c r="A17" s="44">
        <v>115</v>
      </c>
      <c r="B17" s="31">
        <v>6.37</v>
      </c>
      <c r="C17" s="31">
        <v>9.23</v>
      </c>
      <c r="D17" s="31">
        <v>0.16</v>
      </c>
      <c r="E17" s="31">
        <v>35.4</v>
      </c>
      <c r="F17" s="31">
        <v>55.2</v>
      </c>
      <c r="G17" s="31">
        <v>78.900000000000006</v>
      </c>
      <c r="H17" s="32">
        <v>6.2899999999999996E-3</v>
      </c>
      <c r="I17" s="31">
        <v>0.22</v>
      </c>
      <c r="J17" s="31">
        <v>0.87</v>
      </c>
      <c r="K17" s="31">
        <v>77.8</v>
      </c>
      <c r="L17" s="31">
        <v>43.3</v>
      </c>
      <c r="M17" s="31">
        <v>4.5199999999999996</v>
      </c>
      <c r="N17" s="31">
        <v>64</v>
      </c>
      <c r="O17" s="31">
        <v>27.1</v>
      </c>
      <c r="P17" s="31">
        <v>4.57</v>
      </c>
      <c r="Q17" s="31">
        <v>24.3</v>
      </c>
      <c r="R17" s="31">
        <v>64.3</v>
      </c>
      <c r="S17" s="31">
        <v>4.45</v>
      </c>
      <c r="T17" s="31">
        <v>21.7</v>
      </c>
      <c r="U17" s="31">
        <v>17</v>
      </c>
      <c r="V17" s="31">
        <v>63.7</v>
      </c>
      <c r="W17" s="31">
        <v>6.8</v>
      </c>
      <c r="X17" s="31">
        <v>60.8</v>
      </c>
      <c r="Y17" s="31">
        <v>2.61</v>
      </c>
      <c r="Z17" s="31">
        <v>18</v>
      </c>
      <c r="AA17" s="31">
        <v>18.600000000000001</v>
      </c>
      <c r="AB17" s="31">
        <v>33.4</v>
      </c>
      <c r="AC17" s="31">
        <v>3.08</v>
      </c>
      <c r="AD17" s="31">
        <v>5.98</v>
      </c>
      <c r="AE17" s="31">
        <v>9.11</v>
      </c>
      <c r="AF17" s="31">
        <v>81.8</v>
      </c>
      <c r="AG17" s="31">
        <v>10.4</v>
      </c>
      <c r="AH17" s="31">
        <v>1.85</v>
      </c>
      <c r="AI17" s="31">
        <v>13.1</v>
      </c>
      <c r="AJ17" s="31">
        <v>69.8</v>
      </c>
      <c r="AK17" s="31">
        <v>6.76</v>
      </c>
      <c r="AL17" s="31">
        <v>37.799999999999997</v>
      </c>
      <c r="AM17" s="31">
        <v>16.2</v>
      </c>
      <c r="AN17" s="31">
        <v>2.2400000000000002</v>
      </c>
      <c r="AO17" s="31">
        <v>0.8</v>
      </c>
      <c r="AP17" s="31">
        <v>34.9</v>
      </c>
      <c r="AQ17" s="31">
        <v>3.12</v>
      </c>
      <c r="AR17" s="31">
        <v>83.3</v>
      </c>
      <c r="AS17" s="31">
        <v>14.2</v>
      </c>
      <c r="AT17" s="31">
        <v>2.4900000000000002</v>
      </c>
      <c r="AU17" s="31">
        <v>55.8</v>
      </c>
      <c r="AV17" s="31">
        <v>8.8699999999999992</v>
      </c>
      <c r="AW17" s="31">
        <v>34.4</v>
      </c>
      <c r="AX17" s="31">
        <v>1.43</v>
      </c>
      <c r="AY17" s="31">
        <v>56.2</v>
      </c>
      <c r="AZ17" s="31">
        <v>0.25</v>
      </c>
      <c r="BA17" s="31">
        <v>5.85</v>
      </c>
      <c r="BB17" s="31">
        <v>70.599999999999994</v>
      </c>
      <c r="BC17" s="31">
        <v>87.6</v>
      </c>
      <c r="BD17" s="31">
        <v>0.14000000000000001</v>
      </c>
      <c r="BE17" s="31">
        <v>1.99</v>
      </c>
      <c r="BF17" s="31">
        <v>18.600000000000001</v>
      </c>
      <c r="BG17" s="31">
        <v>-8.8800000000000008</v>
      </c>
      <c r="BH17" s="31">
        <v>237</v>
      </c>
      <c r="BI17" s="31">
        <v>224</v>
      </c>
      <c r="BJ17" s="31">
        <v>167</v>
      </c>
      <c r="BK17" s="31">
        <v>277</v>
      </c>
      <c r="BL17" s="31">
        <v>126</v>
      </c>
      <c r="BM17" s="31">
        <v>-43.7</v>
      </c>
    </row>
    <row r="18" spans="1:65" x14ac:dyDescent="0.5">
      <c r="A18" s="44">
        <v>116</v>
      </c>
      <c r="B18" s="28">
        <v>8.24</v>
      </c>
      <c r="C18" s="28">
        <v>1.45</v>
      </c>
      <c r="D18" s="28">
        <v>1.4E-2</v>
      </c>
      <c r="E18" s="28">
        <v>45.2</v>
      </c>
      <c r="F18" s="28">
        <v>53.4</v>
      </c>
      <c r="G18" s="28">
        <v>61.3</v>
      </c>
      <c r="H18" s="34">
        <v>8.7299999999999999E-3</v>
      </c>
      <c r="I18" s="28">
        <v>2.62</v>
      </c>
      <c r="J18" s="28">
        <v>2.87</v>
      </c>
      <c r="K18" s="28">
        <v>56.8</v>
      </c>
      <c r="L18" s="28">
        <v>26.2</v>
      </c>
      <c r="M18" s="28">
        <v>10.9</v>
      </c>
      <c r="N18" s="28">
        <v>67.3</v>
      </c>
      <c r="O18" s="28">
        <v>17.3</v>
      </c>
      <c r="P18" s="28">
        <v>4.1500000000000004</v>
      </c>
      <c r="Q18" s="28">
        <v>16.5</v>
      </c>
      <c r="R18" s="28">
        <v>58.9</v>
      </c>
      <c r="S18" s="28">
        <v>5.34</v>
      </c>
      <c r="T18" s="28">
        <v>14.3</v>
      </c>
      <c r="U18" s="28">
        <v>16.399999999999999</v>
      </c>
      <c r="V18" s="28">
        <v>67.400000000000006</v>
      </c>
      <c r="W18" s="28">
        <v>4.6399999999999997</v>
      </c>
      <c r="X18" s="28">
        <v>39.9</v>
      </c>
      <c r="Y18" s="28">
        <v>6.69</v>
      </c>
      <c r="Z18" s="28">
        <v>29.7</v>
      </c>
      <c r="AA18" s="28">
        <v>23.8</v>
      </c>
      <c r="AB18" s="28">
        <v>29.2</v>
      </c>
      <c r="AC18" s="28">
        <v>1.71</v>
      </c>
      <c r="AD18" s="28">
        <v>6.98</v>
      </c>
      <c r="AE18" s="28">
        <v>5</v>
      </c>
      <c r="AF18" s="28">
        <v>86.3</v>
      </c>
      <c r="AG18" s="28">
        <v>26.2</v>
      </c>
      <c r="AH18" s="28">
        <v>3.78</v>
      </c>
      <c r="AI18" s="28">
        <v>8.59</v>
      </c>
      <c r="AJ18" s="28">
        <v>72.5</v>
      </c>
      <c r="AK18" s="28">
        <v>12.7</v>
      </c>
      <c r="AL18" s="28">
        <v>12</v>
      </c>
      <c r="AM18" s="28">
        <v>51.5</v>
      </c>
      <c r="AN18" s="28">
        <v>0.41</v>
      </c>
      <c r="AO18" s="28">
        <v>1.8</v>
      </c>
      <c r="AP18" s="28">
        <v>2.97</v>
      </c>
      <c r="AQ18" s="28">
        <v>1.57</v>
      </c>
      <c r="AR18" s="28">
        <v>67.5</v>
      </c>
      <c r="AS18" s="28">
        <v>30.4</v>
      </c>
      <c r="AT18" s="28">
        <v>2.04</v>
      </c>
      <c r="AU18" s="28">
        <v>80.3</v>
      </c>
      <c r="AV18" s="28">
        <v>15.9</v>
      </c>
      <c r="AW18" s="28">
        <v>23.6</v>
      </c>
      <c r="AX18" s="28">
        <v>3.44</v>
      </c>
      <c r="AY18" s="28">
        <v>66.2</v>
      </c>
      <c r="AZ18" s="28">
        <v>0.16</v>
      </c>
      <c r="BA18" s="28">
        <v>10.4</v>
      </c>
      <c r="BB18" s="28">
        <v>61.7</v>
      </c>
      <c r="BC18" s="28">
        <v>50.5</v>
      </c>
      <c r="BD18" s="28">
        <v>0.16</v>
      </c>
      <c r="BE18" s="28">
        <v>3.34</v>
      </c>
      <c r="BF18" s="28">
        <v>16.8</v>
      </c>
      <c r="BG18" s="28">
        <v>-90.5</v>
      </c>
      <c r="BH18" s="28">
        <v>514</v>
      </c>
      <c r="BI18" s="28">
        <v>758</v>
      </c>
      <c r="BJ18" s="28">
        <v>314</v>
      </c>
      <c r="BK18" s="28">
        <v>580</v>
      </c>
      <c r="BL18" s="28">
        <v>164</v>
      </c>
      <c r="BM18" s="28">
        <v>-129</v>
      </c>
    </row>
    <row r="19" spans="1:65" x14ac:dyDescent="0.5">
      <c r="A19" s="44">
        <v>117</v>
      </c>
      <c r="B19" s="29">
        <v>12.1</v>
      </c>
      <c r="C19" s="29">
        <v>3.27</v>
      </c>
      <c r="D19" s="29">
        <v>5.1999999999999998E-2</v>
      </c>
      <c r="E19" s="29">
        <v>23.1</v>
      </c>
      <c r="F19" s="29">
        <v>73.5</v>
      </c>
      <c r="G19" s="29">
        <v>85.2</v>
      </c>
      <c r="H19" s="33">
        <v>6.5799999999999999E-3</v>
      </c>
      <c r="I19" s="29">
        <v>1.65</v>
      </c>
      <c r="J19" s="29">
        <v>3.21</v>
      </c>
      <c r="K19" s="29">
        <v>80.599999999999994</v>
      </c>
      <c r="L19" s="29">
        <v>28.5</v>
      </c>
      <c r="M19" s="29">
        <v>2.94</v>
      </c>
      <c r="N19" s="29">
        <v>54.6</v>
      </c>
      <c r="O19" s="29">
        <v>18.3</v>
      </c>
      <c r="P19" s="29">
        <v>7.97</v>
      </c>
      <c r="Q19" s="29">
        <v>24.7</v>
      </c>
      <c r="R19" s="29">
        <v>74.900000000000006</v>
      </c>
      <c r="S19" s="29">
        <v>1.93</v>
      </c>
      <c r="T19" s="29">
        <v>19.399999999999999</v>
      </c>
      <c r="U19" s="29">
        <v>8.19</v>
      </c>
      <c r="V19" s="29">
        <v>70.900000000000006</v>
      </c>
      <c r="W19" s="29">
        <v>0.9</v>
      </c>
      <c r="X19" s="29">
        <v>59.5</v>
      </c>
      <c r="Y19" s="29">
        <v>3.69</v>
      </c>
      <c r="Z19" s="29">
        <v>13.7</v>
      </c>
      <c r="AA19" s="29">
        <v>23.1</v>
      </c>
      <c r="AB19" s="29">
        <v>51.6</v>
      </c>
      <c r="AC19" s="29">
        <v>0.67</v>
      </c>
      <c r="AD19" s="29">
        <v>7.34</v>
      </c>
      <c r="AE19" s="29">
        <v>88.8</v>
      </c>
      <c r="AF19" s="29">
        <v>3.14</v>
      </c>
      <c r="AG19" s="29">
        <v>2.1000000000000001E-2</v>
      </c>
      <c r="AH19" s="29">
        <v>9.58</v>
      </c>
      <c r="AI19" s="29">
        <v>50.9</v>
      </c>
      <c r="AJ19" s="29">
        <v>5.39</v>
      </c>
      <c r="AK19" s="29">
        <v>2.4</v>
      </c>
      <c r="AL19" s="29">
        <v>34.1</v>
      </c>
      <c r="AM19" s="29">
        <v>22.4</v>
      </c>
      <c r="AN19" s="29">
        <v>33.299999999999997</v>
      </c>
      <c r="AO19" s="29">
        <v>0</v>
      </c>
      <c r="AP19" s="29">
        <v>75</v>
      </c>
      <c r="AQ19" s="29">
        <v>0</v>
      </c>
      <c r="AR19" s="29">
        <v>22.2</v>
      </c>
      <c r="AS19" s="29">
        <v>22.2</v>
      </c>
      <c r="AT19" s="29">
        <v>44.4</v>
      </c>
      <c r="AU19" s="29">
        <v>0</v>
      </c>
      <c r="AV19" s="29">
        <v>0</v>
      </c>
      <c r="AW19" s="29">
        <v>16.5</v>
      </c>
      <c r="AX19" s="29">
        <v>11.8</v>
      </c>
      <c r="AY19" s="29">
        <v>70.599999999999994</v>
      </c>
      <c r="AZ19" s="29">
        <v>7.95</v>
      </c>
      <c r="BA19" s="29">
        <v>7.95</v>
      </c>
      <c r="BB19" s="29">
        <v>63.1</v>
      </c>
      <c r="BC19" s="29">
        <v>65.099999999999994</v>
      </c>
      <c r="BD19" s="29">
        <v>16.899999999999999</v>
      </c>
      <c r="BE19" s="29">
        <v>1.0900000000000001</v>
      </c>
      <c r="BF19" s="29">
        <v>31.8</v>
      </c>
      <c r="BG19" s="29">
        <v>-9.43</v>
      </c>
      <c r="BH19" s="29">
        <v>465</v>
      </c>
      <c r="BI19" s="29">
        <v>242</v>
      </c>
      <c r="BJ19" s="29">
        <v>359</v>
      </c>
      <c r="BK19" s="29">
        <v>443</v>
      </c>
      <c r="BL19" s="29">
        <v>835</v>
      </c>
      <c r="BM19" s="29">
        <v>104</v>
      </c>
    </row>
    <row r="20" spans="1:65" x14ac:dyDescent="0.5">
      <c r="A20" s="44">
        <v>118</v>
      </c>
      <c r="B20" s="28">
        <v>17.399999999999999</v>
      </c>
      <c r="C20" s="28">
        <v>1.22</v>
      </c>
      <c r="D20" s="28">
        <v>5.7000000000000002E-2</v>
      </c>
      <c r="E20" s="28">
        <v>20.7</v>
      </c>
      <c r="F20" s="28">
        <v>78</v>
      </c>
      <c r="G20" s="28">
        <v>71.5</v>
      </c>
      <c r="H20" s="34">
        <v>8.8699999999999994E-3</v>
      </c>
      <c r="I20" s="28">
        <v>0.13</v>
      </c>
      <c r="J20" s="28">
        <v>1.1399999999999999</v>
      </c>
      <c r="K20" s="28">
        <v>70.099999999999994</v>
      </c>
      <c r="L20" s="28">
        <v>31.4</v>
      </c>
      <c r="M20" s="28">
        <v>9.0500000000000007</v>
      </c>
      <c r="N20" s="28">
        <v>25.6</v>
      </c>
      <c r="O20" s="28">
        <v>44.6</v>
      </c>
      <c r="P20" s="28">
        <v>16.600000000000001</v>
      </c>
      <c r="Q20" s="28">
        <v>57.9</v>
      </c>
      <c r="R20" s="28">
        <v>74.400000000000006</v>
      </c>
      <c r="S20" s="28">
        <v>2.4300000000000002</v>
      </c>
      <c r="T20" s="28">
        <v>15</v>
      </c>
      <c r="U20" s="28">
        <v>9.5299999999999994</v>
      </c>
      <c r="V20" s="28">
        <v>30.1</v>
      </c>
      <c r="W20" s="28">
        <v>2.36</v>
      </c>
      <c r="X20" s="28">
        <v>29.9</v>
      </c>
      <c r="Y20" s="28">
        <v>6.67</v>
      </c>
      <c r="Z20" s="28">
        <v>24.5</v>
      </c>
      <c r="AA20" s="28">
        <v>38.799999999999997</v>
      </c>
      <c r="AB20" s="28">
        <v>33.9</v>
      </c>
      <c r="AC20" s="28">
        <v>26.2</v>
      </c>
      <c r="AD20" s="28">
        <v>14.8</v>
      </c>
      <c r="AE20" s="28">
        <v>16.399999999999999</v>
      </c>
      <c r="AF20" s="28">
        <v>42.6</v>
      </c>
      <c r="AG20" s="28">
        <v>6.37</v>
      </c>
      <c r="AH20" s="28">
        <v>9.2899999999999991</v>
      </c>
      <c r="AI20" s="28">
        <v>18</v>
      </c>
      <c r="AJ20" s="28">
        <v>68.3</v>
      </c>
      <c r="AK20" s="28">
        <v>0.59</v>
      </c>
      <c r="AL20" s="28">
        <v>7.86</v>
      </c>
      <c r="AM20" s="28">
        <v>47.7</v>
      </c>
      <c r="AN20" s="28">
        <v>0.16</v>
      </c>
      <c r="AO20" s="28">
        <v>4.88</v>
      </c>
      <c r="AP20" s="28">
        <v>12.1</v>
      </c>
      <c r="AQ20" s="28">
        <v>30.2</v>
      </c>
      <c r="AR20" s="28">
        <v>85.7</v>
      </c>
      <c r="AS20" s="28">
        <v>8.93</v>
      </c>
      <c r="AT20" s="28">
        <v>5.25</v>
      </c>
      <c r="AU20" s="28">
        <v>59.1</v>
      </c>
      <c r="AV20" s="28">
        <v>4.03</v>
      </c>
      <c r="AW20" s="28">
        <v>35.9</v>
      </c>
      <c r="AX20" s="28">
        <v>4.79</v>
      </c>
      <c r="AY20" s="28">
        <v>57.1</v>
      </c>
      <c r="AZ20" s="28">
        <v>1.78</v>
      </c>
      <c r="BA20" s="28">
        <v>5.27</v>
      </c>
      <c r="BB20" s="28">
        <v>55.1</v>
      </c>
      <c r="BC20" s="28">
        <v>71.900000000000006</v>
      </c>
      <c r="BD20" s="28">
        <v>10.4</v>
      </c>
      <c r="BE20" s="28">
        <v>4.3099999999999996</v>
      </c>
      <c r="BF20" s="28">
        <v>51.1</v>
      </c>
      <c r="BG20" s="28">
        <v>-47</v>
      </c>
      <c r="BH20" s="28">
        <v>444</v>
      </c>
      <c r="BI20" s="28">
        <v>430</v>
      </c>
      <c r="BJ20" s="28">
        <v>98.4</v>
      </c>
      <c r="BK20" s="28">
        <v>347</v>
      </c>
      <c r="BL20" s="28">
        <v>75.2</v>
      </c>
      <c r="BM20" s="28">
        <v>-63.5</v>
      </c>
    </row>
    <row r="21" spans="1:65" x14ac:dyDescent="0.5">
      <c r="A21" s="44">
        <v>119</v>
      </c>
      <c r="B21" s="31">
        <v>16.100000000000001</v>
      </c>
      <c r="C21" s="31">
        <v>14.9</v>
      </c>
      <c r="D21" s="31">
        <v>0.13</v>
      </c>
      <c r="E21" s="31">
        <v>30.4</v>
      </c>
      <c r="F21" s="31">
        <v>54.6</v>
      </c>
      <c r="G21" s="31">
        <v>74.5</v>
      </c>
      <c r="H21" s="31">
        <v>8.2000000000000003E-2</v>
      </c>
      <c r="I21" s="31">
        <v>4.04</v>
      </c>
      <c r="J21" s="31">
        <v>0.69</v>
      </c>
      <c r="K21" s="31">
        <v>70.7</v>
      </c>
      <c r="L21" s="31">
        <v>56.3</v>
      </c>
      <c r="M21" s="31">
        <v>7.4</v>
      </c>
      <c r="N21" s="31">
        <v>75.7</v>
      </c>
      <c r="O21" s="31">
        <v>3.6</v>
      </c>
      <c r="P21" s="31">
        <v>1.25</v>
      </c>
      <c r="Q21" s="31">
        <v>3.46</v>
      </c>
      <c r="R21" s="31">
        <v>41.5</v>
      </c>
      <c r="S21" s="31">
        <v>19.3</v>
      </c>
      <c r="T21" s="31">
        <v>13.6</v>
      </c>
      <c r="U21" s="31">
        <v>13.4</v>
      </c>
      <c r="V21" s="31">
        <v>79.8</v>
      </c>
      <c r="W21" s="31">
        <v>0.57999999999999996</v>
      </c>
      <c r="X21" s="31">
        <v>19.899999999999999</v>
      </c>
      <c r="Y21" s="31">
        <v>18.399999999999999</v>
      </c>
      <c r="Z21" s="31">
        <v>47.6</v>
      </c>
      <c r="AA21" s="31">
        <v>14.1</v>
      </c>
      <c r="AB21" s="31">
        <v>12.8</v>
      </c>
      <c r="AC21" s="31">
        <v>1.2</v>
      </c>
      <c r="AD21" s="31">
        <v>1.08</v>
      </c>
      <c r="AE21" s="31">
        <v>13.1</v>
      </c>
      <c r="AF21" s="31">
        <v>84.6</v>
      </c>
      <c r="AG21" s="31">
        <v>6.62</v>
      </c>
      <c r="AH21" s="31">
        <v>4.2699999999999996</v>
      </c>
      <c r="AI21" s="31">
        <v>52.4</v>
      </c>
      <c r="AJ21" s="31">
        <v>33.200000000000003</v>
      </c>
      <c r="AK21" s="31">
        <v>1.1200000000000001</v>
      </c>
      <c r="AL21" s="31">
        <v>8.0299999999999994</v>
      </c>
      <c r="AM21" s="31">
        <v>25.2</v>
      </c>
      <c r="AN21" s="31">
        <v>0.54</v>
      </c>
      <c r="AO21" s="31">
        <v>3.09</v>
      </c>
      <c r="AP21" s="31">
        <v>20.6</v>
      </c>
      <c r="AQ21" s="31">
        <v>6.67</v>
      </c>
      <c r="AR21" s="31">
        <v>86.6</v>
      </c>
      <c r="AS21" s="31">
        <v>9.4600000000000009</v>
      </c>
      <c r="AT21" s="31">
        <v>3.73</v>
      </c>
      <c r="AU21" s="31">
        <v>69.400000000000006</v>
      </c>
      <c r="AV21" s="31">
        <v>3.89</v>
      </c>
      <c r="AW21" s="31">
        <v>58.9</v>
      </c>
      <c r="AX21" s="31">
        <v>5.22</v>
      </c>
      <c r="AY21" s="31">
        <v>33.6</v>
      </c>
      <c r="AZ21" s="31">
        <v>0.4</v>
      </c>
      <c r="BA21" s="31">
        <v>3.75</v>
      </c>
      <c r="BB21" s="31">
        <v>17.600000000000001</v>
      </c>
      <c r="BC21" s="31">
        <v>28</v>
      </c>
      <c r="BD21" s="31">
        <v>0.66</v>
      </c>
      <c r="BE21" s="31">
        <v>2.62</v>
      </c>
      <c r="BF21" s="31">
        <v>3.62</v>
      </c>
      <c r="BG21" s="31">
        <v>14.9</v>
      </c>
      <c r="BH21" s="31">
        <v>367</v>
      </c>
      <c r="BI21" s="31">
        <v>422</v>
      </c>
      <c r="BJ21" s="31">
        <v>94.1</v>
      </c>
      <c r="BK21" s="31">
        <v>531</v>
      </c>
      <c r="BL21" s="31">
        <v>458</v>
      </c>
      <c r="BM21" s="31">
        <v>-60.4</v>
      </c>
    </row>
    <row r="22" spans="1:65" x14ac:dyDescent="0.5">
      <c r="A22" s="44">
        <v>120</v>
      </c>
      <c r="B22" s="30">
        <v>42.6</v>
      </c>
      <c r="C22" s="30">
        <v>0.24</v>
      </c>
      <c r="D22" s="30">
        <v>6.8000000000000005E-2</v>
      </c>
      <c r="E22" s="30">
        <v>25.9</v>
      </c>
      <c r="F22" s="30">
        <v>73.8</v>
      </c>
      <c r="G22" s="30">
        <v>42.5</v>
      </c>
      <c r="H22" s="36">
        <v>7.5399999999999998E-3</v>
      </c>
      <c r="I22" s="30">
        <v>0.3</v>
      </c>
      <c r="J22" s="30">
        <v>7.52</v>
      </c>
      <c r="K22" s="30">
        <v>34.799999999999997</v>
      </c>
      <c r="L22" s="30">
        <v>23.2</v>
      </c>
      <c r="M22" s="30">
        <v>5.39</v>
      </c>
      <c r="N22" s="30">
        <v>18.600000000000001</v>
      </c>
      <c r="O22" s="30">
        <v>21</v>
      </c>
      <c r="P22" s="30">
        <v>53.2</v>
      </c>
      <c r="Q22" s="30">
        <v>70.599999999999994</v>
      </c>
      <c r="R22" s="30">
        <v>92.5</v>
      </c>
      <c r="S22" s="30">
        <v>0.4</v>
      </c>
      <c r="T22" s="30">
        <v>3.38</v>
      </c>
      <c r="U22" s="30">
        <v>3.75</v>
      </c>
      <c r="V22" s="30">
        <v>20.5</v>
      </c>
      <c r="W22" s="30">
        <v>3.18</v>
      </c>
      <c r="X22" s="30">
        <v>81.099999999999994</v>
      </c>
      <c r="Y22" s="30">
        <v>0.24</v>
      </c>
      <c r="Z22" s="30">
        <v>3.62</v>
      </c>
      <c r="AA22" s="30">
        <v>15</v>
      </c>
      <c r="AB22" s="30">
        <v>10.6</v>
      </c>
      <c r="AC22" s="30">
        <v>3.89</v>
      </c>
      <c r="AD22" s="30">
        <v>29.8</v>
      </c>
      <c r="AE22" s="30">
        <v>59.2</v>
      </c>
      <c r="AF22" s="30">
        <v>7.13</v>
      </c>
      <c r="AG22" s="30">
        <v>1.45</v>
      </c>
      <c r="AH22" s="30">
        <v>47.8</v>
      </c>
      <c r="AI22" s="30">
        <v>38.5</v>
      </c>
      <c r="AJ22" s="30">
        <v>2.3199999999999998</v>
      </c>
      <c r="AK22" s="30">
        <v>0.48</v>
      </c>
      <c r="AL22" s="30">
        <v>10.4</v>
      </c>
      <c r="AM22" s="30">
        <v>16.100000000000001</v>
      </c>
      <c r="AN22" s="30">
        <v>13.8</v>
      </c>
      <c r="AO22" s="30">
        <v>13.8</v>
      </c>
      <c r="AP22" s="30">
        <v>91.7</v>
      </c>
      <c r="AQ22" s="30">
        <v>0</v>
      </c>
      <c r="AR22" s="30">
        <v>46.6</v>
      </c>
      <c r="AS22" s="30">
        <v>12.1</v>
      </c>
      <c r="AT22" s="30">
        <v>37.9</v>
      </c>
      <c r="AU22" s="30">
        <v>8.33</v>
      </c>
      <c r="AV22" s="30">
        <v>0</v>
      </c>
      <c r="AW22" s="30">
        <v>59</v>
      </c>
      <c r="AX22" s="30">
        <v>11</v>
      </c>
      <c r="AY22" s="30">
        <v>28.4</v>
      </c>
      <c r="AZ22" s="30">
        <v>5.21</v>
      </c>
      <c r="BA22" s="30">
        <v>5.9</v>
      </c>
      <c r="BB22" s="30">
        <v>54.8</v>
      </c>
      <c r="BC22" s="30">
        <v>85.1</v>
      </c>
      <c r="BD22" s="30">
        <v>7.18</v>
      </c>
      <c r="BE22" s="30">
        <v>4.2</v>
      </c>
      <c r="BF22" s="30">
        <v>76.599999999999994</v>
      </c>
      <c r="BG22" s="30">
        <v>-30</v>
      </c>
      <c r="BH22" s="30">
        <v>701</v>
      </c>
      <c r="BI22" s="30">
        <v>226</v>
      </c>
      <c r="BJ22" s="30">
        <v>143</v>
      </c>
      <c r="BK22" s="30">
        <v>433</v>
      </c>
      <c r="BL22" s="30">
        <v>156</v>
      </c>
      <c r="BM22" s="30">
        <v>-30.4</v>
      </c>
    </row>
    <row r="23" spans="1:65" x14ac:dyDescent="0.5">
      <c r="A23" s="44">
        <v>121</v>
      </c>
      <c r="B23" s="28">
        <v>17.5</v>
      </c>
      <c r="C23" s="28">
        <v>4.96</v>
      </c>
      <c r="D23" s="28">
        <v>9.1999999999999998E-2</v>
      </c>
      <c r="E23" s="28">
        <v>31.5</v>
      </c>
      <c r="F23" s="28">
        <v>63.4</v>
      </c>
      <c r="G23" s="28">
        <v>64.5</v>
      </c>
      <c r="H23" s="28">
        <v>3.6999999999999998E-2</v>
      </c>
      <c r="I23" s="28">
        <v>2.72</v>
      </c>
      <c r="J23" s="28">
        <v>2.2000000000000002</v>
      </c>
      <c r="K23" s="28">
        <v>60.4</v>
      </c>
      <c r="L23" s="28">
        <v>39.700000000000003</v>
      </c>
      <c r="M23" s="28">
        <v>3.17</v>
      </c>
      <c r="N23" s="28">
        <v>39.299999999999997</v>
      </c>
      <c r="O23" s="28">
        <v>20.100000000000001</v>
      </c>
      <c r="P23" s="28">
        <v>38.1</v>
      </c>
      <c r="Q23" s="28">
        <v>53.7</v>
      </c>
      <c r="R23" s="28">
        <v>69.8</v>
      </c>
      <c r="S23" s="28">
        <v>2.35</v>
      </c>
      <c r="T23" s="28">
        <v>25.8</v>
      </c>
      <c r="U23" s="28">
        <v>11.5</v>
      </c>
      <c r="V23" s="28">
        <v>34.6</v>
      </c>
      <c r="W23" s="28">
        <v>3.06</v>
      </c>
      <c r="X23" s="28">
        <v>46.6</v>
      </c>
      <c r="Y23" s="28">
        <v>3.58</v>
      </c>
      <c r="Z23" s="28">
        <v>39.6</v>
      </c>
      <c r="AA23" s="28">
        <v>10.199999999999999</v>
      </c>
      <c r="AB23" s="28">
        <v>19</v>
      </c>
      <c r="AC23" s="28">
        <v>3.68</v>
      </c>
      <c r="AD23" s="28">
        <v>10.3</v>
      </c>
      <c r="AE23" s="28">
        <v>23.6</v>
      </c>
      <c r="AF23" s="28">
        <v>62.4</v>
      </c>
      <c r="AG23" s="28">
        <v>9.57</v>
      </c>
      <c r="AH23" s="28">
        <v>14.3</v>
      </c>
      <c r="AI23" s="28">
        <v>5.82</v>
      </c>
      <c r="AJ23" s="28">
        <v>45.1</v>
      </c>
      <c r="AK23" s="28">
        <v>32.299999999999997</v>
      </c>
      <c r="AL23" s="28">
        <v>15.4</v>
      </c>
      <c r="AM23" s="28">
        <v>25.8</v>
      </c>
      <c r="AN23" s="28">
        <v>1.49</v>
      </c>
      <c r="AO23" s="28">
        <v>0.75</v>
      </c>
      <c r="AP23" s="28">
        <v>2.48</v>
      </c>
      <c r="AQ23" s="28">
        <v>2.33</v>
      </c>
      <c r="AR23" s="28">
        <v>94.6</v>
      </c>
      <c r="AS23" s="28">
        <v>3.14</v>
      </c>
      <c r="AT23" s="28">
        <v>2.08</v>
      </c>
      <c r="AU23" s="28">
        <v>93.3</v>
      </c>
      <c r="AV23" s="28">
        <v>3.55</v>
      </c>
      <c r="AW23" s="28">
        <v>30.2</v>
      </c>
      <c r="AX23" s="28">
        <v>4.58</v>
      </c>
      <c r="AY23" s="28">
        <v>61</v>
      </c>
      <c r="AZ23" s="28">
        <v>1.99</v>
      </c>
      <c r="BA23" s="28">
        <v>27.6</v>
      </c>
      <c r="BB23" s="28">
        <v>66.5</v>
      </c>
      <c r="BC23" s="28">
        <v>72.5</v>
      </c>
      <c r="BD23" s="28">
        <v>1.05</v>
      </c>
      <c r="BE23" s="28">
        <v>14.4</v>
      </c>
      <c r="BF23" s="28">
        <v>84.9</v>
      </c>
      <c r="BG23" s="28">
        <v>168</v>
      </c>
      <c r="BH23" s="28">
        <v>536</v>
      </c>
      <c r="BI23" s="28">
        <v>694</v>
      </c>
      <c r="BJ23" s="28">
        <v>735</v>
      </c>
      <c r="BK23" s="28">
        <v>1014</v>
      </c>
      <c r="BL23" s="28">
        <v>531</v>
      </c>
      <c r="BM23" s="28">
        <v>65.8</v>
      </c>
    </row>
    <row r="24" spans="1:65" x14ac:dyDescent="0.5">
      <c r="A24" s="44">
        <v>122</v>
      </c>
      <c r="B24" s="35">
        <v>28</v>
      </c>
      <c r="C24" s="35">
        <v>2.89</v>
      </c>
      <c r="D24" s="35">
        <v>0.15</v>
      </c>
      <c r="E24" s="35">
        <v>44.6</v>
      </c>
      <c r="F24" s="35">
        <v>52.4</v>
      </c>
      <c r="G24" s="35">
        <v>54.9</v>
      </c>
      <c r="H24" s="35">
        <v>1.4999999999999999E-2</v>
      </c>
      <c r="I24" s="35">
        <v>0.27</v>
      </c>
      <c r="J24" s="35">
        <v>1.76</v>
      </c>
      <c r="K24" s="35">
        <v>53</v>
      </c>
      <c r="L24" s="35">
        <v>31.5</v>
      </c>
      <c r="M24" s="35">
        <v>9.6300000000000008</v>
      </c>
      <c r="N24" s="35">
        <v>48.8</v>
      </c>
      <c r="O24" s="35">
        <v>27.6</v>
      </c>
      <c r="P24" s="35">
        <v>12.6</v>
      </c>
      <c r="Q24" s="35">
        <v>33.799999999999997</v>
      </c>
      <c r="R24" s="35">
        <v>44.9</v>
      </c>
      <c r="S24" s="35">
        <v>10.3</v>
      </c>
      <c r="T24" s="35">
        <v>16.3</v>
      </c>
      <c r="U24" s="35">
        <v>15.8</v>
      </c>
      <c r="V24" s="35">
        <v>49.8</v>
      </c>
      <c r="W24" s="35">
        <v>6.02</v>
      </c>
      <c r="X24" s="35">
        <v>25.5</v>
      </c>
      <c r="Y24" s="35">
        <v>13.3</v>
      </c>
      <c r="Z24" s="35">
        <v>38.700000000000003</v>
      </c>
      <c r="AA24" s="35">
        <v>22.6</v>
      </c>
      <c r="AB24" s="35">
        <v>19.8</v>
      </c>
      <c r="AC24" s="35">
        <v>4.0199999999999996</v>
      </c>
      <c r="AD24" s="35">
        <v>14.8</v>
      </c>
      <c r="AE24" s="35">
        <v>15.2</v>
      </c>
      <c r="AF24" s="35">
        <v>66</v>
      </c>
      <c r="AG24" s="35">
        <v>13.2</v>
      </c>
      <c r="AH24" s="35">
        <v>1.75</v>
      </c>
      <c r="AI24" s="35">
        <v>10.6</v>
      </c>
      <c r="AJ24" s="35">
        <v>82.8</v>
      </c>
      <c r="AK24" s="35">
        <v>3.67</v>
      </c>
      <c r="AL24" s="35">
        <v>4.0599999999999996</v>
      </c>
      <c r="AM24" s="35">
        <v>17.5</v>
      </c>
      <c r="AN24" s="35">
        <v>0.44</v>
      </c>
      <c r="AO24" s="35">
        <v>0.39</v>
      </c>
      <c r="AP24" s="35">
        <v>7.99</v>
      </c>
      <c r="AQ24" s="35">
        <v>1.01</v>
      </c>
      <c r="AR24" s="35">
        <v>83.7</v>
      </c>
      <c r="AS24" s="35">
        <v>15.8</v>
      </c>
      <c r="AT24" s="35">
        <v>0.5</v>
      </c>
      <c r="AU24" s="35">
        <v>87.2</v>
      </c>
      <c r="AV24" s="35">
        <v>7.88</v>
      </c>
      <c r="AW24" s="35">
        <v>68.5</v>
      </c>
      <c r="AX24" s="35">
        <v>2.5</v>
      </c>
      <c r="AY24" s="35">
        <v>22.1</v>
      </c>
      <c r="AZ24" s="35">
        <v>0.5</v>
      </c>
      <c r="BA24" s="35">
        <v>6.33</v>
      </c>
      <c r="BB24" s="35">
        <v>66</v>
      </c>
      <c r="BC24" s="35">
        <v>74.599999999999994</v>
      </c>
      <c r="BD24" s="35">
        <v>1.85</v>
      </c>
      <c r="BE24" s="35">
        <v>2.63</v>
      </c>
      <c r="BF24" s="35">
        <v>27</v>
      </c>
      <c r="BG24" s="35">
        <v>-17.899999999999999</v>
      </c>
      <c r="BH24" s="35">
        <v>579</v>
      </c>
      <c r="BI24" s="35">
        <v>653</v>
      </c>
      <c r="BJ24" s="35">
        <v>484</v>
      </c>
      <c r="BK24" s="35">
        <v>559</v>
      </c>
      <c r="BL24" s="35">
        <v>150</v>
      </c>
      <c r="BM24" s="35">
        <v>-62.8</v>
      </c>
    </row>
    <row r="25" spans="1:65" x14ac:dyDescent="0.5">
      <c r="A25" s="44">
        <v>123</v>
      </c>
      <c r="B25" s="29">
        <v>2.38</v>
      </c>
      <c r="C25" s="29">
        <v>6</v>
      </c>
      <c r="D25" s="29">
        <v>0</v>
      </c>
      <c r="E25" s="29">
        <v>54.7</v>
      </c>
      <c r="F25" s="29">
        <v>39.299999999999997</v>
      </c>
      <c r="G25" s="29">
        <v>90.7</v>
      </c>
      <c r="H25" s="29">
        <v>1.4999999999999999E-2</v>
      </c>
      <c r="I25" s="29">
        <v>0.16</v>
      </c>
      <c r="J25" s="29">
        <v>2.14</v>
      </c>
      <c r="K25" s="29">
        <v>88.3</v>
      </c>
      <c r="L25" s="29">
        <v>28.2</v>
      </c>
      <c r="M25" s="29">
        <v>9.8800000000000008</v>
      </c>
      <c r="N25" s="29">
        <v>50</v>
      </c>
      <c r="O25" s="29">
        <v>29.1</v>
      </c>
      <c r="P25" s="29">
        <v>10.3</v>
      </c>
      <c r="Q25" s="29">
        <v>33.4</v>
      </c>
      <c r="R25" s="29">
        <v>63.4</v>
      </c>
      <c r="S25" s="29">
        <v>4.84</v>
      </c>
      <c r="T25" s="29">
        <v>29</v>
      </c>
      <c r="U25" s="29">
        <v>16.8</v>
      </c>
      <c r="V25" s="29">
        <v>50.2</v>
      </c>
      <c r="W25" s="29">
        <v>5.76</v>
      </c>
      <c r="X25" s="29">
        <v>45</v>
      </c>
      <c r="Y25" s="29">
        <v>5.64</v>
      </c>
      <c r="Z25" s="29">
        <v>25.4</v>
      </c>
      <c r="AA25" s="29">
        <v>24</v>
      </c>
      <c r="AB25" s="29">
        <v>57.8</v>
      </c>
      <c r="AC25" s="29">
        <v>1.69</v>
      </c>
      <c r="AD25" s="29">
        <v>18</v>
      </c>
      <c r="AE25" s="29">
        <v>19</v>
      </c>
      <c r="AF25" s="29">
        <v>61.3</v>
      </c>
      <c r="AG25" s="29">
        <v>4.13</v>
      </c>
      <c r="AH25" s="29">
        <v>29.4</v>
      </c>
      <c r="AI25" s="29">
        <v>1.31</v>
      </c>
      <c r="AJ25" s="29">
        <v>16.7</v>
      </c>
      <c r="AK25" s="29">
        <v>51.2</v>
      </c>
      <c r="AL25" s="29">
        <v>11.8</v>
      </c>
      <c r="AM25" s="29">
        <v>54.9</v>
      </c>
      <c r="AN25" s="29">
        <v>0.61</v>
      </c>
      <c r="AO25" s="29">
        <v>2.76</v>
      </c>
      <c r="AP25" s="29">
        <v>1.23</v>
      </c>
      <c r="AQ25" s="29">
        <v>1.05</v>
      </c>
      <c r="AR25" s="29">
        <v>81.3</v>
      </c>
      <c r="AS25" s="29">
        <v>16.100000000000001</v>
      </c>
      <c r="AT25" s="29">
        <v>2.38</v>
      </c>
      <c r="AU25" s="29">
        <v>88.1</v>
      </c>
      <c r="AV25" s="29">
        <v>10.5</v>
      </c>
      <c r="AW25" s="29">
        <v>18.600000000000001</v>
      </c>
      <c r="AX25" s="29">
        <v>4.9000000000000004</v>
      </c>
      <c r="AY25" s="29">
        <v>72.5</v>
      </c>
      <c r="AZ25" s="29">
        <v>0.39</v>
      </c>
      <c r="BA25" s="29">
        <v>7.5</v>
      </c>
      <c r="BB25" s="29">
        <v>65.3</v>
      </c>
      <c r="BC25" s="29">
        <v>68.400000000000006</v>
      </c>
      <c r="BD25" s="29">
        <v>0.18</v>
      </c>
      <c r="BE25" s="29">
        <v>2.83</v>
      </c>
      <c r="BF25" s="29">
        <v>17.600000000000001</v>
      </c>
      <c r="BG25" s="29">
        <v>-106</v>
      </c>
      <c r="BH25" s="29">
        <v>498</v>
      </c>
      <c r="BI25" s="29">
        <v>317</v>
      </c>
      <c r="BJ25" s="29">
        <v>371</v>
      </c>
      <c r="BK25" s="29">
        <v>684</v>
      </c>
      <c r="BL25" s="29">
        <v>138</v>
      </c>
      <c r="BM25" s="29">
        <v>-129</v>
      </c>
    </row>
    <row r="26" spans="1:65" x14ac:dyDescent="0.5">
      <c r="A26" s="44">
        <v>124</v>
      </c>
      <c r="B26" s="28">
        <v>10.9</v>
      </c>
      <c r="C26" s="28">
        <v>6.31</v>
      </c>
      <c r="D26" s="28">
        <v>9.4E-2</v>
      </c>
      <c r="E26" s="28">
        <v>30.4</v>
      </c>
      <c r="F26" s="28">
        <v>63.2</v>
      </c>
      <c r="G26" s="28">
        <v>83</v>
      </c>
      <c r="H26" s="28">
        <v>0.11</v>
      </c>
      <c r="I26" s="28">
        <v>0.19</v>
      </c>
      <c r="J26" s="28">
        <v>5.82</v>
      </c>
      <c r="K26" s="28">
        <v>76.900000000000006</v>
      </c>
      <c r="L26" s="28">
        <v>48.7</v>
      </c>
      <c r="M26" s="28">
        <v>4.9800000000000004</v>
      </c>
      <c r="N26" s="28">
        <v>35.700000000000003</v>
      </c>
      <c r="O26" s="28">
        <v>31.5</v>
      </c>
      <c r="P26" s="28">
        <v>20.3</v>
      </c>
      <c r="Q26" s="28">
        <v>48</v>
      </c>
      <c r="R26" s="28">
        <v>52.4</v>
      </c>
      <c r="S26" s="28">
        <v>6.46</v>
      </c>
      <c r="T26" s="28">
        <v>15</v>
      </c>
      <c r="U26" s="28">
        <v>17.600000000000001</v>
      </c>
      <c r="V26" s="28">
        <v>42.6</v>
      </c>
      <c r="W26" s="28">
        <v>3.26</v>
      </c>
      <c r="X26" s="28">
        <v>50.4</v>
      </c>
      <c r="Y26" s="28">
        <v>5.08</v>
      </c>
      <c r="Z26" s="28">
        <v>18.399999999999999</v>
      </c>
      <c r="AA26" s="28">
        <v>26</v>
      </c>
      <c r="AB26" s="28">
        <v>25.9</v>
      </c>
      <c r="AC26" s="28">
        <v>1.57</v>
      </c>
      <c r="AD26" s="28">
        <v>3.55</v>
      </c>
      <c r="AE26" s="28">
        <v>81.3</v>
      </c>
      <c r="AF26" s="28">
        <v>13.6</v>
      </c>
      <c r="AG26" s="28">
        <v>3.36</v>
      </c>
      <c r="AH26" s="28">
        <v>14.1</v>
      </c>
      <c r="AI26" s="28">
        <v>33.1</v>
      </c>
      <c r="AJ26" s="28">
        <v>42.4</v>
      </c>
      <c r="AK26" s="28">
        <v>1.94</v>
      </c>
      <c r="AL26" s="28">
        <v>4.74</v>
      </c>
      <c r="AM26" s="28">
        <v>20.9</v>
      </c>
      <c r="AN26" s="28">
        <v>0.57999999999999996</v>
      </c>
      <c r="AO26" s="28">
        <v>2.48</v>
      </c>
      <c r="AP26" s="28">
        <v>13.4</v>
      </c>
      <c r="AQ26" s="28">
        <v>2.36</v>
      </c>
      <c r="AR26" s="28">
        <v>95.9</v>
      </c>
      <c r="AS26" s="28">
        <v>1.51</v>
      </c>
      <c r="AT26" s="28">
        <v>1.3</v>
      </c>
      <c r="AU26" s="28">
        <v>89</v>
      </c>
      <c r="AV26" s="28">
        <v>0</v>
      </c>
      <c r="AW26" s="28">
        <v>66.599999999999994</v>
      </c>
      <c r="AX26" s="28">
        <v>6.36</v>
      </c>
      <c r="AY26" s="28">
        <v>24</v>
      </c>
      <c r="AZ26" s="28">
        <v>2.36</v>
      </c>
      <c r="BA26" s="28">
        <v>39.5</v>
      </c>
      <c r="BB26" s="28">
        <v>61.4</v>
      </c>
      <c r="BC26" s="28">
        <v>84.4</v>
      </c>
      <c r="BD26" s="28">
        <v>13.6</v>
      </c>
      <c r="BE26" s="28">
        <v>6.45</v>
      </c>
      <c r="BF26" s="28">
        <v>54.3</v>
      </c>
      <c r="BG26" s="28">
        <v>46.3</v>
      </c>
      <c r="BH26" s="28">
        <v>428</v>
      </c>
      <c r="BI26" s="28">
        <v>291</v>
      </c>
      <c r="BJ26" s="28">
        <v>352</v>
      </c>
      <c r="BK26" s="28">
        <v>623</v>
      </c>
      <c r="BL26" s="28">
        <v>54.2</v>
      </c>
      <c r="BM26" s="28">
        <v>24.3</v>
      </c>
    </row>
    <row r="27" spans="1:65" x14ac:dyDescent="0.5">
      <c r="A27" s="44">
        <v>125</v>
      </c>
      <c r="B27" s="28">
        <v>10.8</v>
      </c>
      <c r="C27" s="28">
        <v>6.86</v>
      </c>
      <c r="D27" s="28">
        <v>0.01</v>
      </c>
      <c r="E27" s="28">
        <v>50</v>
      </c>
      <c r="F27" s="28">
        <v>43.1</v>
      </c>
      <c r="G27" s="28">
        <v>59.2</v>
      </c>
      <c r="H27" s="28">
        <v>5.3999999999999999E-2</v>
      </c>
      <c r="I27" s="28">
        <v>0.85</v>
      </c>
      <c r="J27" s="28">
        <v>8.4</v>
      </c>
      <c r="K27" s="28">
        <v>50.2</v>
      </c>
      <c r="L27" s="28">
        <v>19.399999999999999</v>
      </c>
      <c r="M27" s="28">
        <v>9.8000000000000007</v>
      </c>
      <c r="N27" s="28">
        <v>34.200000000000003</v>
      </c>
      <c r="O27" s="28">
        <v>41.3</v>
      </c>
      <c r="P27" s="28">
        <v>12.8</v>
      </c>
      <c r="Q27" s="28">
        <v>53</v>
      </c>
      <c r="R27" s="28">
        <v>96.3</v>
      </c>
      <c r="S27" s="28">
        <v>0.1</v>
      </c>
      <c r="T27" s="28">
        <v>23.5</v>
      </c>
      <c r="U27" s="28">
        <v>0.38</v>
      </c>
      <c r="V27" s="28">
        <v>36.200000000000003</v>
      </c>
      <c r="W27" s="28">
        <v>0.66</v>
      </c>
      <c r="X27" s="28">
        <v>85.6</v>
      </c>
      <c r="Y27" s="28">
        <v>1.27</v>
      </c>
      <c r="Z27" s="28">
        <v>12.7</v>
      </c>
      <c r="AA27" s="28">
        <v>0.42</v>
      </c>
      <c r="AB27" s="28">
        <v>29.3</v>
      </c>
      <c r="AC27" s="28">
        <v>5.87</v>
      </c>
      <c r="AD27" s="28">
        <v>29.6</v>
      </c>
      <c r="AE27" s="28">
        <v>37.6</v>
      </c>
      <c r="AF27" s="28">
        <v>26.9</v>
      </c>
      <c r="AG27" s="28">
        <v>23.1</v>
      </c>
      <c r="AH27" s="28">
        <v>3.81</v>
      </c>
      <c r="AI27" s="28">
        <v>7.2</v>
      </c>
      <c r="AJ27" s="28">
        <v>76.7</v>
      </c>
      <c r="AK27" s="28">
        <v>10.8</v>
      </c>
      <c r="AL27" s="28">
        <v>5.66</v>
      </c>
      <c r="AM27" s="28">
        <v>57</v>
      </c>
      <c r="AN27" s="28">
        <v>0.28999999999999998</v>
      </c>
      <c r="AO27" s="28">
        <v>2.13</v>
      </c>
      <c r="AP27" s="28">
        <v>2.94</v>
      </c>
      <c r="AQ27" s="28">
        <v>2.0099999999999998</v>
      </c>
      <c r="AR27" s="28">
        <v>84</v>
      </c>
      <c r="AS27" s="28">
        <v>13.9</v>
      </c>
      <c r="AT27" s="28">
        <v>1.95</v>
      </c>
      <c r="AU27" s="28">
        <v>89.2</v>
      </c>
      <c r="AV27" s="28">
        <v>7.09</v>
      </c>
      <c r="AW27" s="28">
        <v>28.4</v>
      </c>
      <c r="AX27" s="28">
        <v>2.8</v>
      </c>
      <c r="AY27" s="28">
        <v>63.4</v>
      </c>
      <c r="AZ27" s="28">
        <v>3.01</v>
      </c>
      <c r="BA27" s="28">
        <v>11.8</v>
      </c>
      <c r="BB27" s="28">
        <v>73.2</v>
      </c>
      <c r="BC27" s="28">
        <v>74</v>
      </c>
      <c r="BD27" s="28">
        <v>1.77</v>
      </c>
      <c r="BE27" s="28">
        <v>2.6</v>
      </c>
      <c r="BF27" s="28">
        <v>25.8</v>
      </c>
      <c r="BG27" s="28">
        <v>22.9</v>
      </c>
      <c r="BH27" s="28">
        <v>486</v>
      </c>
      <c r="BI27" s="28">
        <v>359</v>
      </c>
      <c r="BJ27" s="28">
        <v>317</v>
      </c>
      <c r="BK27" s="28">
        <v>679</v>
      </c>
      <c r="BL27" s="28">
        <v>109</v>
      </c>
      <c r="BM27" s="28">
        <v>24.4</v>
      </c>
    </row>
    <row r="28" spans="1:65" x14ac:dyDescent="0.5">
      <c r="A28" s="44">
        <v>126</v>
      </c>
      <c r="B28" s="28">
        <v>2.4700000000000002</v>
      </c>
      <c r="C28" s="28">
        <v>9.93</v>
      </c>
      <c r="D28" s="28">
        <v>0.33</v>
      </c>
      <c r="E28" s="28">
        <v>54.4</v>
      </c>
      <c r="F28" s="28">
        <v>35.299999999999997</v>
      </c>
      <c r="G28" s="28">
        <v>64.8</v>
      </c>
      <c r="H28" s="34">
        <v>9.0799999999999995E-3</v>
      </c>
      <c r="I28" s="28">
        <v>0.13</v>
      </c>
      <c r="J28" s="28">
        <v>1.37</v>
      </c>
      <c r="K28" s="28">
        <v>63.4</v>
      </c>
      <c r="L28" s="28">
        <v>33.1</v>
      </c>
      <c r="M28" s="28">
        <v>6.52</v>
      </c>
      <c r="N28" s="28">
        <v>67</v>
      </c>
      <c r="O28" s="28">
        <v>17.8</v>
      </c>
      <c r="P28" s="28">
        <v>6.95</v>
      </c>
      <c r="Q28" s="28">
        <v>22.1</v>
      </c>
      <c r="R28" s="28">
        <v>64.599999999999994</v>
      </c>
      <c r="S28" s="28">
        <v>4.46</v>
      </c>
      <c r="T28" s="28">
        <v>3.21</v>
      </c>
      <c r="U28" s="28">
        <v>16.399999999999999</v>
      </c>
      <c r="V28" s="28">
        <v>67.8</v>
      </c>
      <c r="W28" s="28">
        <v>3.68</v>
      </c>
      <c r="X28" s="28">
        <v>53.7</v>
      </c>
      <c r="Y28" s="28">
        <v>1.37</v>
      </c>
      <c r="Z28" s="28">
        <v>35.6</v>
      </c>
      <c r="AA28" s="28">
        <v>9.34</v>
      </c>
      <c r="AB28" s="28">
        <v>29.1</v>
      </c>
      <c r="AC28" s="28">
        <v>1.31</v>
      </c>
      <c r="AD28" s="28">
        <v>2.25</v>
      </c>
      <c r="AE28" s="28">
        <v>6.38</v>
      </c>
      <c r="AF28" s="28">
        <v>90</v>
      </c>
      <c r="AG28" s="28">
        <v>31</v>
      </c>
      <c r="AH28" s="28">
        <v>8.3699999999999992</v>
      </c>
      <c r="AI28" s="28">
        <v>3.82</v>
      </c>
      <c r="AJ28" s="28">
        <v>84</v>
      </c>
      <c r="AK28" s="28">
        <v>2.65</v>
      </c>
      <c r="AL28" s="28">
        <v>2.77</v>
      </c>
      <c r="AM28" s="28">
        <v>64.7</v>
      </c>
      <c r="AN28" s="28">
        <v>0.25</v>
      </c>
      <c r="AO28" s="28">
        <v>2.2000000000000002</v>
      </c>
      <c r="AP28" s="28">
        <v>9.7100000000000009</v>
      </c>
      <c r="AQ28" s="28">
        <v>18</v>
      </c>
      <c r="AR28" s="28">
        <v>85.6</v>
      </c>
      <c r="AS28" s="28">
        <v>12</v>
      </c>
      <c r="AT28" s="28">
        <v>2.17</v>
      </c>
      <c r="AU28" s="28">
        <v>68.099999999999994</v>
      </c>
      <c r="AV28" s="28">
        <v>5.15</v>
      </c>
      <c r="AW28" s="28">
        <v>21.2</v>
      </c>
      <c r="AX28" s="28">
        <v>3.47</v>
      </c>
      <c r="AY28" s="28">
        <v>71.3</v>
      </c>
      <c r="AZ28" s="28">
        <v>0.14000000000000001</v>
      </c>
      <c r="BA28" s="28">
        <v>7.09</v>
      </c>
      <c r="BB28" s="28">
        <v>35.6</v>
      </c>
      <c r="BC28" s="28">
        <v>64.8</v>
      </c>
      <c r="BD28" s="28">
        <v>9.8000000000000004E-2</v>
      </c>
      <c r="BE28" s="28">
        <v>2.39</v>
      </c>
      <c r="BF28" s="28">
        <v>5.68</v>
      </c>
      <c r="BG28" s="28">
        <v>36.5</v>
      </c>
      <c r="BH28" s="28">
        <v>548</v>
      </c>
      <c r="BI28" s="28">
        <v>689</v>
      </c>
      <c r="BJ28" s="28">
        <v>568</v>
      </c>
      <c r="BK28" s="28">
        <v>1016</v>
      </c>
      <c r="BL28" s="28">
        <v>561</v>
      </c>
      <c r="BM28" s="28">
        <v>-4.3</v>
      </c>
    </row>
    <row r="29" spans="1:65" x14ac:dyDescent="0.5">
      <c r="A29" s="44">
        <v>127</v>
      </c>
      <c r="B29" s="28">
        <v>8.2799999999999994</v>
      </c>
      <c r="C29" s="28">
        <v>6.71</v>
      </c>
      <c r="D29" s="28">
        <v>1.2999999999999999E-2</v>
      </c>
      <c r="E29" s="28">
        <v>33.700000000000003</v>
      </c>
      <c r="F29" s="28">
        <v>59.6</v>
      </c>
      <c r="G29" s="28">
        <v>72</v>
      </c>
      <c r="H29" s="28">
        <v>2.4E-2</v>
      </c>
      <c r="I29" s="28">
        <v>4.7300000000000004</v>
      </c>
      <c r="J29" s="28">
        <v>5.32</v>
      </c>
      <c r="K29" s="28">
        <v>63.2</v>
      </c>
      <c r="L29" s="28">
        <v>42</v>
      </c>
      <c r="M29" s="28">
        <v>7.1</v>
      </c>
      <c r="N29" s="28">
        <v>38.5</v>
      </c>
      <c r="O29" s="28">
        <v>31.5</v>
      </c>
      <c r="P29" s="28">
        <v>21.5</v>
      </c>
      <c r="Q29" s="28">
        <v>47.5</v>
      </c>
      <c r="R29" s="28">
        <v>74.5</v>
      </c>
      <c r="S29" s="28">
        <v>1.75</v>
      </c>
      <c r="T29" s="28">
        <v>14.6</v>
      </c>
      <c r="U29" s="28">
        <v>4.41</v>
      </c>
      <c r="V29" s="28">
        <v>38.9</v>
      </c>
      <c r="W29" s="28">
        <v>6.52</v>
      </c>
      <c r="X29" s="28">
        <v>54.4</v>
      </c>
      <c r="Y29" s="28">
        <v>0.12</v>
      </c>
      <c r="Z29" s="28">
        <v>45</v>
      </c>
      <c r="AA29" s="28">
        <v>0.42</v>
      </c>
      <c r="AB29" s="28">
        <v>19.7</v>
      </c>
      <c r="AC29" s="28">
        <v>4.3</v>
      </c>
      <c r="AD29" s="28">
        <v>13.5</v>
      </c>
      <c r="AE29" s="28">
        <v>13.5</v>
      </c>
      <c r="AF29" s="28">
        <v>68.5</v>
      </c>
      <c r="AG29" s="28">
        <v>16.100000000000001</v>
      </c>
      <c r="AH29" s="28">
        <v>2.15</v>
      </c>
      <c r="AI29" s="28">
        <v>6.44</v>
      </c>
      <c r="AJ29" s="28">
        <v>66.900000000000006</v>
      </c>
      <c r="AK29" s="28">
        <v>22.6</v>
      </c>
      <c r="AL29" s="28">
        <v>8.73</v>
      </c>
      <c r="AM29" s="28">
        <v>32.9</v>
      </c>
      <c r="AN29" s="28">
        <v>0.38</v>
      </c>
      <c r="AO29" s="28">
        <v>0.76</v>
      </c>
      <c r="AP29" s="28">
        <v>2.34</v>
      </c>
      <c r="AQ29" s="28">
        <v>0.7</v>
      </c>
      <c r="AR29" s="28">
        <v>88</v>
      </c>
      <c r="AS29" s="28">
        <v>11</v>
      </c>
      <c r="AT29" s="28">
        <v>0.88</v>
      </c>
      <c r="AU29" s="28">
        <v>94.5</v>
      </c>
      <c r="AV29" s="28">
        <v>4.43</v>
      </c>
      <c r="AW29" s="28">
        <v>42.3</v>
      </c>
      <c r="AX29" s="28">
        <v>7.66</v>
      </c>
      <c r="AY29" s="28">
        <v>45</v>
      </c>
      <c r="AZ29" s="28">
        <v>0.35</v>
      </c>
      <c r="BA29" s="28">
        <v>10.1</v>
      </c>
      <c r="BB29" s="28">
        <v>47.5</v>
      </c>
      <c r="BC29" s="28">
        <v>58.2</v>
      </c>
      <c r="BD29" s="28">
        <v>0.26</v>
      </c>
      <c r="BE29" s="28">
        <v>2.2200000000000002</v>
      </c>
      <c r="BF29" s="28">
        <v>13.4</v>
      </c>
      <c r="BG29" s="28">
        <v>57.5</v>
      </c>
      <c r="BH29" s="28">
        <v>531</v>
      </c>
      <c r="BI29" s="28">
        <v>608</v>
      </c>
      <c r="BJ29" s="28">
        <v>514</v>
      </c>
      <c r="BK29" s="28">
        <v>1080</v>
      </c>
      <c r="BL29" s="28">
        <v>241</v>
      </c>
      <c r="BM29" s="28">
        <v>26.7</v>
      </c>
    </row>
    <row r="30" spans="1:65" x14ac:dyDescent="0.5">
      <c r="A30" s="44">
        <v>128</v>
      </c>
      <c r="B30" s="29">
        <v>7.15</v>
      </c>
      <c r="C30" s="29">
        <v>11.1</v>
      </c>
      <c r="D30" s="29">
        <v>0.04</v>
      </c>
      <c r="E30" s="29">
        <v>28.2</v>
      </c>
      <c r="F30" s="29">
        <v>60.7</v>
      </c>
      <c r="G30" s="29">
        <v>76.900000000000006</v>
      </c>
      <c r="H30" s="29">
        <v>1.0999999999999999E-2</v>
      </c>
      <c r="I30" s="29">
        <v>0.99</v>
      </c>
      <c r="J30" s="29">
        <v>4.66</v>
      </c>
      <c r="K30" s="29">
        <v>71.400000000000006</v>
      </c>
      <c r="L30" s="29">
        <v>33</v>
      </c>
      <c r="M30" s="29">
        <v>7.47</v>
      </c>
      <c r="N30" s="29">
        <v>50.3</v>
      </c>
      <c r="O30" s="29">
        <v>31.3</v>
      </c>
      <c r="P30" s="29">
        <v>8.33</v>
      </c>
      <c r="Q30" s="29">
        <v>36.6</v>
      </c>
      <c r="R30" s="29">
        <v>70.099999999999994</v>
      </c>
      <c r="S30" s="29">
        <v>2.57</v>
      </c>
      <c r="T30" s="29">
        <v>19.399999999999999</v>
      </c>
      <c r="U30" s="29">
        <v>16.100000000000001</v>
      </c>
      <c r="V30" s="29">
        <v>51.6</v>
      </c>
      <c r="W30" s="29">
        <v>4.57</v>
      </c>
      <c r="X30" s="29">
        <v>56.4</v>
      </c>
      <c r="Y30" s="29">
        <v>2.74</v>
      </c>
      <c r="Z30" s="29">
        <v>25.1</v>
      </c>
      <c r="AA30" s="29">
        <v>15.7</v>
      </c>
      <c r="AB30" s="29">
        <v>36.6</v>
      </c>
      <c r="AC30" s="29">
        <v>2.5499999999999998</v>
      </c>
      <c r="AD30" s="29">
        <v>5.07</v>
      </c>
      <c r="AE30" s="29">
        <v>2.5</v>
      </c>
      <c r="AF30" s="29">
        <v>89.8</v>
      </c>
      <c r="AG30" s="29">
        <v>13.8</v>
      </c>
      <c r="AH30" s="29">
        <v>4.75</v>
      </c>
      <c r="AI30" s="29">
        <v>5.2</v>
      </c>
      <c r="AJ30" s="29">
        <v>66.3</v>
      </c>
      <c r="AK30" s="29">
        <v>21.7</v>
      </c>
      <c r="AL30" s="29">
        <v>9.98</v>
      </c>
      <c r="AM30" s="29">
        <v>48.2</v>
      </c>
      <c r="AN30" s="29">
        <v>0.79</v>
      </c>
      <c r="AO30" s="29">
        <v>0.52</v>
      </c>
      <c r="AP30" s="29">
        <v>3.9</v>
      </c>
      <c r="AQ30" s="29">
        <v>0.28000000000000003</v>
      </c>
      <c r="AR30" s="29">
        <v>96.4</v>
      </c>
      <c r="AS30" s="29">
        <v>2.72</v>
      </c>
      <c r="AT30" s="29">
        <v>0.75</v>
      </c>
      <c r="AU30" s="29">
        <v>97.1</v>
      </c>
      <c r="AV30" s="29">
        <v>1.48</v>
      </c>
      <c r="AW30" s="29">
        <v>28.6</v>
      </c>
      <c r="AX30" s="29">
        <v>3.39</v>
      </c>
      <c r="AY30" s="29">
        <v>63.4</v>
      </c>
      <c r="AZ30" s="29">
        <v>0.2</v>
      </c>
      <c r="BA30" s="29">
        <v>26.1</v>
      </c>
      <c r="BB30" s="29">
        <v>53.2</v>
      </c>
      <c r="BC30" s="29">
        <v>32</v>
      </c>
      <c r="BD30" s="29">
        <v>0.27</v>
      </c>
      <c r="BE30" s="29">
        <v>4.45</v>
      </c>
      <c r="BF30" s="29">
        <v>13.7</v>
      </c>
      <c r="BG30" s="29">
        <v>47.9</v>
      </c>
      <c r="BH30" s="29">
        <v>569</v>
      </c>
      <c r="BI30" s="29">
        <v>403</v>
      </c>
      <c r="BJ30" s="29">
        <v>845</v>
      </c>
      <c r="BK30" s="29">
        <v>1125</v>
      </c>
      <c r="BL30" s="29">
        <v>385</v>
      </c>
      <c r="BM30" s="29">
        <v>8.93</v>
      </c>
    </row>
    <row r="31" spans="1:65" x14ac:dyDescent="0.5">
      <c r="A31" s="44">
        <v>129</v>
      </c>
      <c r="B31" s="28">
        <v>1.58</v>
      </c>
      <c r="C31" s="28">
        <v>23.4</v>
      </c>
      <c r="D31" s="28">
        <v>5</v>
      </c>
      <c r="E31" s="28">
        <v>47.4</v>
      </c>
      <c r="F31" s="28">
        <v>24.2</v>
      </c>
      <c r="G31" s="28">
        <v>95.5</v>
      </c>
      <c r="H31" s="28">
        <v>1.2999999999999999E-2</v>
      </c>
      <c r="I31" s="28">
        <v>0.08</v>
      </c>
      <c r="J31" s="28">
        <v>3.88</v>
      </c>
      <c r="K31" s="28">
        <v>91.5</v>
      </c>
      <c r="L31" s="28">
        <v>38.9</v>
      </c>
      <c r="M31" s="28">
        <v>9.73</v>
      </c>
      <c r="N31" s="28">
        <v>62.1</v>
      </c>
      <c r="O31" s="28">
        <v>22.6</v>
      </c>
      <c r="P31" s="28">
        <v>3.9</v>
      </c>
      <c r="Q31" s="28">
        <v>23.1</v>
      </c>
      <c r="R31" s="28">
        <v>39.299999999999997</v>
      </c>
      <c r="S31" s="28">
        <v>8.9499999999999993</v>
      </c>
      <c r="T31" s="28">
        <v>11.2</v>
      </c>
      <c r="U31" s="28">
        <v>19.2</v>
      </c>
      <c r="V31" s="28">
        <v>63.3</v>
      </c>
      <c r="W31" s="28">
        <v>4.3600000000000003</v>
      </c>
      <c r="X31" s="28">
        <v>15.9</v>
      </c>
      <c r="Y31" s="28">
        <v>14.3</v>
      </c>
      <c r="Z31" s="28">
        <v>40.1</v>
      </c>
      <c r="AA31" s="28">
        <v>29.7</v>
      </c>
      <c r="AB31" s="28">
        <v>50.8</v>
      </c>
      <c r="AC31" s="28">
        <v>2.2200000000000002</v>
      </c>
      <c r="AD31" s="28">
        <v>4.82</v>
      </c>
      <c r="AE31" s="28">
        <v>9.09</v>
      </c>
      <c r="AF31" s="28">
        <v>83.8</v>
      </c>
      <c r="AG31" s="28">
        <v>1.19</v>
      </c>
      <c r="AH31" s="28">
        <v>33.200000000000003</v>
      </c>
      <c r="AI31" s="28">
        <v>17.7</v>
      </c>
      <c r="AJ31" s="28">
        <v>28</v>
      </c>
      <c r="AK31" s="28">
        <v>14.7</v>
      </c>
      <c r="AL31" s="28">
        <v>22.1</v>
      </c>
      <c r="AM31" s="28">
        <v>49.4</v>
      </c>
      <c r="AN31" s="28">
        <v>9.91</v>
      </c>
      <c r="AO31" s="28">
        <v>4.83</v>
      </c>
      <c r="AP31" s="28">
        <v>17.899999999999999</v>
      </c>
      <c r="AQ31" s="28">
        <v>0.71</v>
      </c>
      <c r="AR31" s="28">
        <v>87.7</v>
      </c>
      <c r="AS31" s="28">
        <v>5.45</v>
      </c>
      <c r="AT31" s="28">
        <v>6.26</v>
      </c>
      <c r="AU31" s="28">
        <v>92.6</v>
      </c>
      <c r="AV31" s="28">
        <v>2.2400000000000002</v>
      </c>
      <c r="AW31" s="28">
        <v>11.2</v>
      </c>
      <c r="AX31" s="28">
        <v>7.72</v>
      </c>
      <c r="AY31" s="28">
        <v>78.900000000000006</v>
      </c>
      <c r="AZ31" s="28">
        <v>0.36</v>
      </c>
      <c r="BA31" s="28">
        <v>13.4</v>
      </c>
      <c r="BB31" s="28">
        <v>42.3</v>
      </c>
      <c r="BC31" s="28">
        <v>71.8</v>
      </c>
      <c r="BD31" s="28">
        <v>0.28000000000000003</v>
      </c>
      <c r="BE31" s="28">
        <v>7.2</v>
      </c>
      <c r="BF31" s="28">
        <v>22.4</v>
      </c>
      <c r="BG31" s="28">
        <v>113</v>
      </c>
      <c r="BH31" s="28">
        <v>905</v>
      </c>
      <c r="BI31" s="28">
        <v>936</v>
      </c>
      <c r="BJ31" s="28">
        <v>682</v>
      </c>
      <c r="BK31" s="28">
        <v>1269</v>
      </c>
      <c r="BL31" s="28">
        <v>476</v>
      </c>
      <c r="BM31" s="28">
        <v>46.1</v>
      </c>
    </row>
    <row r="32" spans="1:65" x14ac:dyDescent="0.5">
      <c r="A32" s="44">
        <v>130</v>
      </c>
      <c r="B32" s="30">
        <v>13.7</v>
      </c>
      <c r="C32" s="30">
        <v>7.85</v>
      </c>
      <c r="D32" s="30">
        <v>0.13</v>
      </c>
      <c r="E32" s="30">
        <v>49.8</v>
      </c>
      <c r="F32" s="30">
        <v>42.2</v>
      </c>
      <c r="G32" s="30">
        <v>78.599999999999994</v>
      </c>
      <c r="H32" s="30">
        <v>0.14000000000000001</v>
      </c>
      <c r="I32" s="30">
        <v>9.7000000000000003E-2</v>
      </c>
      <c r="J32" s="30">
        <v>1.35</v>
      </c>
      <c r="K32" s="30">
        <v>76.2</v>
      </c>
      <c r="L32" s="30">
        <v>49.2</v>
      </c>
      <c r="M32" s="30">
        <v>8.01</v>
      </c>
      <c r="N32" s="30">
        <v>61</v>
      </c>
      <c r="O32" s="30">
        <v>26.4</v>
      </c>
      <c r="P32" s="30">
        <v>3.36</v>
      </c>
      <c r="Q32" s="30">
        <v>25</v>
      </c>
      <c r="R32" s="30">
        <v>60.1</v>
      </c>
      <c r="S32" s="30">
        <v>3.85</v>
      </c>
      <c r="T32" s="30">
        <v>26.5</v>
      </c>
      <c r="U32" s="30">
        <v>9.52</v>
      </c>
      <c r="V32" s="30">
        <v>62</v>
      </c>
      <c r="W32" s="30">
        <v>5.19</v>
      </c>
      <c r="X32" s="30">
        <v>45.2</v>
      </c>
      <c r="Y32" s="30">
        <v>3.48</v>
      </c>
      <c r="Z32" s="30">
        <v>41.3</v>
      </c>
      <c r="AA32" s="30">
        <v>10</v>
      </c>
      <c r="AB32" s="30">
        <v>24.4</v>
      </c>
      <c r="AC32" s="30">
        <v>4.3600000000000003</v>
      </c>
      <c r="AD32" s="30">
        <v>1.83</v>
      </c>
      <c r="AE32" s="30">
        <v>3.14</v>
      </c>
      <c r="AF32" s="30">
        <v>90.7</v>
      </c>
      <c r="AG32" s="30">
        <v>3.61</v>
      </c>
      <c r="AH32" s="30">
        <v>18</v>
      </c>
      <c r="AI32" s="30">
        <v>15.5</v>
      </c>
      <c r="AJ32" s="30">
        <v>43</v>
      </c>
      <c r="AK32" s="30">
        <v>16.899999999999999</v>
      </c>
      <c r="AL32" s="30">
        <v>9.9</v>
      </c>
      <c r="AM32" s="30">
        <v>8.98</v>
      </c>
      <c r="AN32" s="30">
        <v>2.14</v>
      </c>
      <c r="AO32" s="30">
        <v>2.64</v>
      </c>
      <c r="AP32" s="30">
        <v>5.53</v>
      </c>
      <c r="AQ32" s="30">
        <v>11.9</v>
      </c>
      <c r="AR32" s="30">
        <v>24.1</v>
      </c>
      <c r="AS32" s="30">
        <v>72.400000000000006</v>
      </c>
      <c r="AT32" s="30">
        <v>3.36</v>
      </c>
      <c r="AU32" s="30">
        <v>48.3</v>
      </c>
      <c r="AV32" s="30">
        <v>36.4</v>
      </c>
      <c r="AW32" s="30">
        <v>41.8</v>
      </c>
      <c r="AX32" s="30">
        <v>10.3</v>
      </c>
      <c r="AY32" s="30">
        <v>24.3</v>
      </c>
      <c r="AZ32" s="30">
        <v>1.69</v>
      </c>
      <c r="BA32" s="30">
        <v>24.1</v>
      </c>
      <c r="BB32" s="30">
        <v>62.6</v>
      </c>
      <c r="BC32" s="30">
        <v>62.3</v>
      </c>
      <c r="BD32" s="30">
        <v>0.49</v>
      </c>
      <c r="BE32" s="30">
        <v>5.33</v>
      </c>
      <c r="BF32" s="30">
        <v>18.899999999999999</v>
      </c>
      <c r="BG32" s="30">
        <v>-19.2</v>
      </c>
      <c r="BH32" s="30">
        <v>622</v>
      </c>
      <c r="BI32" s="30">
        <v>476</v>
      </c>
      <c r="BJ32" s="30">
        <v>484</v>
      </c>
      <c r="BK32" s="30">
        <v>994</v>
      </c>
      <c r="BL32" s="30">
        <v>503</v>
      </c>
      <c r="BM32" s="30">
        <v>10.199999999999999</v>
      </c>
    </row>
    <row r="33" spans="1:65" x14ac:dyDescent="0.5">
      <c r="A33" s="44">
        <v>131</v>
      </c>
      <c r="B33" s="28">
        <v>4.84</v>
      </c>
      <c r="C33" s="28">
        <v>3.58</v>
      </c>
      <c r="D33" s="28">
        <v>0.44</v>
      </c>
      <c r="E33" s="28">
        <v>25.6</v>
      </c>
      <c r="F33" s="28">
        <v>70.400000000000006</v>
      </c>
      <c r="G33" s="28">
        <v>73.099999999999994</v>
      </c>
      <c r="H33" s="28">
        <v>1.2E-2</v>
      </c>
      <c r="I33" s="28">
        <v>0.36</v>
      </c>
      <c r="J33" s="28">
        <v>1.32</v>
      </c>
      <c r="K33" s="28">
        <v>71.5</v>
      </c>
      <c r="L33" s="28">
        <v>61.5</v>
      </c>
      <c r="M33" s="28">
        <v>3.33</v>
      </c>
      <c r="N33" s="28">
        <v>66.5</v>
      </c>
      <c r="O33" s="28">
        <v>24.6</v>
      </c>
      <c r="P33" s="28">
        <v>3.25</v>
      </c>
      <c r="Q33" s="28">
        <v>20.7</v>
      </c>
      <c r="R33" s="28">
        <v>58.9</v>
      </c>
      <c r="S33" s="28">
        <v>6.59</v>
      </c>
      <c r="T33" s="28">
        <v>32.6</v>
      </c>
      <c r="U33" s="28">
        <v>10.7</v>
      </c>
      <c r="V33" s="28">
        <v>67.5</v>
      </c>
      <c r="W33" s="28">
        <v>6.63</v>
      </c>
      <c r="X33" s="28">
        <v>50.9</v>
      </c>
      <c r="Y33" s="28">
        <v>4.09</v>
      </c>
      <c r="Z33" s="28">
        <v>33.700000000000003</v>
      </c>
      <c r="AA33" s="28">
        <v>11.4</v>
      </c>
      <c r="AB33" s="28">
        <v>9.67</v>
      </c>
      <c r="AC33" s="28">
        <v>5.5</v>
      </c>
      <c r="AD33" s="28">
        <v>16.7</v>
      </c>
      <c r="AE33" s="28">
        <v>36.200000000000003</v>
      </c>
      <c r="AF33" s="28">
        <v>41.6</v>
      </c>
      <c r="AG33" s="28">
        <v>20.3</v>
      </c>
      <c r="AH33" s="28">
        <v>8.94</v>
      </c>
      <c r="AI33" s="28">
        <v>8.65</v>
      </c>
      <c r="AJ33" s="28">
        <v>70.2</v>
      </c>
      <c r="AK33" s="28">
        <v>6.34</v>
      </c>
      <c r="AL33" s="28">
        <v>26.6</v>
      </c>
      <c r="AM33" s="28">
        <v>3.31</v>
      </c>
      <c r="AN33" s="28">
        <v>0.42</v>
      </c>
      <c r="AO33" s="28">
        <v>0.25</v>
      </c>
      <c r="AP33" s="28">
        <v>11.5</v>
      </c>
      <c r="AQ33" s="28">
        <v>0.77</v>
      </c>
      <c r="AR33" s="28">
        <v>89.6</v>
      </c>
      <c r="AS33" s="28">
        <v>10</v>
      </c>
      <c r="AT33" s="28">
        <v>0.39</v>
      </c>
      <c r="AU33" s="28">
        <v>70.2</v>
      </c>
      <c r="AV33" s="28">
        <v>18.5</v>
      </c>
      <c r="AW33" s="28">
        <v>57.7</v>
      </c>
      <c r="AX33" s="28">
        <v>5.43</v>
      </c>
      <c r="AY33" s="28">
        <v>32.5</v>
      </c>
      <c r="AZ33" s="28">
        <v>0.76</v>
      </c>
      <c r="BA33" s="28">
        <v>6.55</v>
      </c>
      <c r="BB33" s="28">
        <v>73.7</v>
      </c>
      <c r="BC33" s="28">
        <v>60.3</v>
      </c>
      <c r="BD33" s="28">
        <v>0.13</v>
      </c>
      <c r="BE33" s="28">
        <v>1.19</v>
      </c>
      <c r="BF33" s="28">
        <v>19.8</v>
      </c>
      <c r="BG33" s="28">
        <v>14.5</v>
      </c>
      <c r="BH33" s="28">
        <v>342</v>
      </c>
      <c r="BI33" s="28">
        <v>267</v>
      </c>
      <c r="BJ33" s="28">
        <v>299</v>
      </c>
      <c r="BK33" s="28">
        <v>318</v>
      </c>
      <c r="BL33" s="28">
        <v>99.7</v>
      </c>
      <c r="BM33" s="28">
        <v>-12</v>
      </c>
    </row>
    <row r="34" spans="1:65" x14ac:dyDescent="0.5">
      <c r="A34" s="44">
        <v>132</v>
      </c>
      <c r="B34" s="29">
        <v>20.399999999999999</v>
      </c>
      <c r="C34" s="29">
        <v>8.61</v>
      </c>
      <c r="D34" s="29">
        <v>1.48</v>
      </c>
      <c r="E34" s="29">
        <v>23.9</v>
      </c>
      <c r="F34" s="29">
        <v>66.099999999999994</v>
      </c>
      <c r="G34" s="29">
        <v>74.7</v>
      </c>
      <c r="H34" s="29">
        <v>1.2E-2</v>
      </c>
      <c r="I34" s="29">
        <v>0.36</v>
      </c>
      <c r="J34" s="29">
        <v>0.34</v>
      </c>
      <c r="K34" s="29">
        <v>74</v>
      </c>
      <c r="L34" s="29">
        <v>42.6</v>
      </c>
      <c r="M34" s="29">
        <v>6.9</v>
      </c>
      <c r="N34" s="29">
        <v>38</v>
      </c>
      <c r="O34" s="29">
        <v>39.4</v>
      </c>
      <c r="P34" s="29">
        <v>13.3</v>
      </c>
      <c r="Q34" s="29">
        <v>43.8</v>
      </c>
      <c r="R34" s="29">
        <v>43.5</v>
      </c>
      <c r="S34" s="29">
        <v>14.1</v>
      </c>
      <c r="T34" s="29">
        <v>23.8</v>
      </c>
      <c r="U34" s="29">
        <v>22.4</v>
      </c>
      <c r="V34" s="29">
        <v>39.4</v>
      </c>
      <c r="W34" s="29">
        <v>10.5</v>
      </c>
      <c r="X34" s="29">
        <v>28.8</v>
      </c>
      <c r="Y34" s="29">
        <v>6.75</v>
      </c>
      <c r="Z34" s="29">
        <v>40.299999999999997</v>
      </c>
      <c r="AA34" s="29">
        <v>24.1</v>
      </c>
      <c r="AB34" s="29">
        <v>28.5</v>
      </c>
      <c r="AC34" s="29">
        <v>19.399999999999999</v>
      </c>
      <c r="AD34" s="29">
        <v>17.5</v>
      </c>
      <c r="AE34" s="29">
        <v>32.9</v>
      </c>
      <c r="AF34" s="29">
        <v>29.7</v>
      </c>
      <c r="AG34" s="29">
        <v>2.91</v>
      </c>
      <c r="AH34" s="29">
        <v>1.82</v>
      </c>
      <c r="AI34" s="29">
        <v>3.87</v>
      </c>
      <c r="AJ34" s="29">
        <v>90.8</v>
      </c>
      <c r="AK34" s="29">
        <v>2.2799999999999998</v>
      </c>
      <c r="AL34" s="29">
        <v>3.56</v>
      </c>
      <c r="AM34" s="29">
        <v>33.799999999999997</v>
      </c>
      <c r="AN34" s="29">
        <v>0.44</v>
      </c>
      <c r="AO34" s="29">
        <v>0.17</v>
      </c>
      <c r="AP34" s="29">
        <v>8.76</v>
      </c>
      <c r="AQ34" s="29">
        <v>2.42</v>
      </c>
      <c r="AR34" s="29">
        <v>93.9</v>
      </c>
      <c r="AS34" s="29">
        <v>5.5</v>
      </c>
      <c r="AT34" s="29">
        <v>0.57999999999999996</v>
      </c>
      <c r="AU34" s="29">
        <v>93.1</v>
      </c>
      <c r="AV34" s="29">
        <v>1.21</v>
      </c>
      <c r="AW34" s="29">
        <v>51.4</v>
      </c>
      <c r="AX34" s="29">
        <v>2.67</v>
      </c>
      <c r="AY34" s="29">
        <v>42</v>
      </c>
      <c r="AZ34" s="29">
        <v>0.67</v>
      </c>
      <c r="BA34" s="29">
        <v>2.2799999999999998</v>
      </c>
      <c r="BB34" s="29">
        <v>25.5</v>
      </c>
      <c r="BC34" s="29">
        <v>36.1</v>
      </c>
      <c r="BD34" s="29">
        <v>0.23</v>
      </c>
      <c r="BE34" s="29">
        <v>2.0099999999999998</v>
      </c>
      <c r="BF34" s="29">
        <v>4.08</v>
      </c>
      <c r="BG34" s="29">
        <v>41.6</v>
      </c>
      <c r="BH34" s="29">
        <v>416</v>
      </c>
      <c r="BI34" s="29">
        <v>445</v>
      </c>
      <c r="BJ34" s="29">
        <v>67.400000000000006</v>
      </c>
      <c r="BK34" s="29">
        <v>309</v>
      </c>
      <c r="BL34" s="29">
        <v>194</v>
      </c>
      <c r="BM34" s="29">
        <v>1.37</v>
      </c>
    </row>
    <row r="35" spans="1:65" x14ac:dyDescent="0.5">
      <c r="A35" s="44">
        <v>133</v>
      </c>
      <c r="B35" s="28">
        <v>8.69</v>
      </c>
      <c r="C35" s="28">
        <v>4.33</v>
      </c>
      <c r="D35" s="28">
        <v>2.0699999999999998</v>
      </c>
      <c r="E35" s="28">
        <v>13.4</v>
      </c>
      <c r="F35" s="28">
        <v>80.2</v>
      </c>
      <c r="G35" s="28">
        <v>83.2</v>
      </c>
      <c r="H35" s="34">
        <v>8.5100000000000002E-3</v>
      </c>
      <c r="I35" s="28">
        <v>0.28999999999999998</v>
      </c>
      <c r="J35" s="28">
        <v>9.58</v>
      </c>
      <c r="K35" s="28">
        <v>73.400000000000006</v>
      </c>
      <c r="L35" s="28">
        <v>29.7</v>
      </c>
      <c r="M35" s="28">
        <v>18.399999999999999</v>
      </c>
      <c r="N35" s="28">
        <v>16</v>
      </c>
      <c r="O35" s="28">
        <v>32.5</v>
      </c>
      <c r="P35" s="28">
        <v>31.9</v>
      </c>
      <c r="Q35" s="28">
        <v>61.3</v>
      </c>
      <c r="R35" s="28">
        <v>81.3</v>
      </c>
      <c r="S35" s="28">
        <v>1.26</v>
      </c>
      <c r="T35" s="28">
        <v>20</v>
      </c>
      <c r="U35" s="28">
        <v>7.34</v>
      </c>
      <c r="V35" s="28">
        <v>13.6</v>
      </c>
      <c r="W35" s="28">
        <v>4.2300000000000004</v>
      </c>
      <c r="X35" s="28">
        <v>69.099999999999994</v>
      </c>
      <c r="Y35" s="28">
        <v>1.08</v>
      </c>
      <c r="Z35" s="28">
        <v>23.8</v>
      </c>
      <c r="AA35" s="28">
        <v>6.01</v>
      </c>
      <c r="AB35" s="28">
        <v>42.1</v>
      </c>
      <c r="AC35" s="28">
        <v>8.43</v>
      </c>
      <c r="AD35" s="28">
        <v>19</v>
      </c>
      <c r="AE35" s="28">
        <v>55.7</v>
      </c>
      <c r="AF35" s="28">
        <v>16.600000000000001</v>
      </c>
      <c r="AG35" s="28">
        <v>3.13</v>
      </c>
      <c r="AH35" s="28">
        <v>22.6</v>
      </c>
      <c r="AI35" s="28">
        <v>41.3</v>
      </c>
      <c r="AJ35" s="28">
        <v>8.86</v>
      </c>
      <c r="AK35" s="28">
        <v>5.64</v>
      </c>
      <c r="AL35" s="28">
        <v>10.1</v>
      </c>
      <c r="AM35" s="28">
        <v>58.3</v>
      </c>
      <c r="AN35" s="28">
        <v>10.5</v>
      </c>
      <c r="AO35" s="28">
        <v>45</v>
      </c>
      <c r="AP35" s="28">
        <v>70.5</v>
      </c>
      <c r="AQ35" s="28">
        <v>14.7</v>
      </c>
      <c r="AR35" s="28">
        <v>25.8</v>
      </c>
      <c r="AS35" s="28">
        <v>1.68</v>
      </c>
      <c r="AT35" s="28">
        <v>69.7</v>
      </c>
      <c r="AU35" s="28">
        <v>11.7</v>
      </c>
      <c r="AV35" s="28">
        <v>0.46</v>
      </c>
      <c r="AW35" s="28">
        <v>2.73</v>
      </c>
      <c r="AX35" s="28">
        <v>2.5299999999999998</v>
      </c>
      <c r="AY35" s="28">
        <v>93.6</v>
      </c>
      <c r="AZ35" s="28">
        <v>3.8</v>
      </c>
      <c r="BA35" s="28">
        <v>5.97</v>
      </c>
      <c r="BB35" s="28">
        <v>50.3</v>
      </c>
      <c r="BC35" s="28">
        <v>67.2</v>
      </c>
      <c r="BD35" s="28">
        <v>1.39</v>
      </c>
      <c r="BE35" s="28">
        <v>4.8499999999999996</v>
      </c>
      <c r="BF35" s="28">
        <v>56.7</v>
      </c>
      <c r="BG35" s="28">
        <v>240</v>
      </c>
      <c r="BH35" s="28">
        <v>858</v>
      </c>
      <c r="BI35" s="28">
        <v>694</v>
      </c>
      <c r="BJ35" s="28">
        <v>309</v>
      </c>
      <c r="BK35" s="28">
        <v>1029</v>
      </c>
      <c r="BL35" s="28">
        <v>207</v>
      </c>
      <c r="BM35" s="28">
        <v>157</v>
      </c>
    </row>
    <row r="36" spans="1:65" x14ac:dyDescent="0.5">
      <c r="A36" s="44">
        <v>134</v>
      </c>
      <c r="B36" s="28">
        <v>6.7</v>
      </c>
      <c r="C36" s="28">
        <v>3.5</v>
      </c>
      <c r="D36" s="28">
        <v>1.2999999999999999E-2</v>
      </c>
      <c r="E36" s="28">
        <v>41.1</v>
      </c>
      <c r="F36" s="28">
        <v>55.3</v>
      </c>
      <c r="G36" s="28">
        <v>66.900000000000006</v>
      </c>
      <c r="H36" s="28">
        <v>0.03</v>
      </c>
      <c r="I36" s="28">
        <v>1.27</v>
      </c>
      <c r="J36" s="28">
        <v>1.48</v>
      </c>
      <c r="K36" s="28">
        <v>64.5</v>
      </c>
      <c r="L36" s="28">
        <v>43.3</v>
      </c>
      <c r="M36" s="28">
        <v>8.43</v>
      </c>
      <c r="N36" s="28">
        <v>35.299999999999997</v>
      </c>
      <c r="O36" s="28">
        <v>43</v>
      </c>
      <c r="P36" s="28">
        <v>11.4</v>
      </c>
      <c r="Q36" s="28">
        <v>44.3</v>
      </c>
      <c r="R36" s="28">
        <v>49.3</v>
      </c>
      <c r="S36" s="28">
        <v>16.5</v>
      </c>
      <c r="T36" s="28">
        <v>10.1</v>
      </c>
      <c r="U36" s="28">
        <v>12.3</v>
      </c>
      <c r="V36" s="28">
        <v>36.5</v>
      </c>
      <c r="W36" s="28">
        <v>11.2</v>
      </c>
      <c r="X36" s="28">
        <v>38.4</v>
      </c>
      <c r="Y36" s="28">
        <v>4.8499999999999996</v>
      </c>
      <c r="Z36" s="28">
        <v>33.1</v>
      </c>
      <c r="AA36" s="28">
        <v>23.6</v>
      </c>
      <c r="AB36" s="28">
        <v>20.100000000000001</v>
      </c>
      <c r="AC36" s="28">
        <v>6.12</v>
      </c>
      <c r="AD36" s="28">
        <v>15.4</v>
      </c>
      <c r="AE36" s="28">
        <v>56.4</v>
      </c>
      <c r="AF36" s="28">
        <v>22</v>
      </c>
      <c r="AG36" s="28">
        <v>23</v>
      </c>
      <c r="AH36" s="28">
        <v>5.0199999999999996</v>
      </c>
      <c r="AI36" s="28">
        <v>12.3</v>
      </c>
      <c r="AJ36" s="28">
        <v>62.7</v>
      </c>
      <c r="AK36" s="28">
        <v>12.4</v>
      </c>
      <c r="AL36" s="28">
        <v>12.3</v>
      </c>
      <c r="AM36" s="28">
        <v>37.5</v>
      </c>
      <c r="AN36" s="28">
        <v>0.44</v>
      </c>
      <c r="AO36" s="28">
        <v>1.92</v>
      </c>
      <c r="AP36" s="28">
        <v>3.39</v>
      </c>
      <c r="AQ36" s="28">
        <v>4.07</v>
      </c>
      <c r="AR36" s="28">
        <v>90.1</v>
      </c>
      <c r="AS36" s="28">
        <v>7.51</v>
      </c>
      <c r="AT36" s="28">
        <v>2.29</v>
      </c>
      <c r="AU36" s="28">
        <v>88.1</v>
      </c>
      <c r="AV36" s="28">
        <v>5.36</v>
      </c>
      <c r="AW36" s="28">
        <v>38</v>
      </c>
      <c r="AX36" s="28">
        <v>7.61</v>
      </c>
      <c r="AY36" s="28">
        <v>52</v>
      </c>
      <c r="AZ36" s="28">
        <v>1.83</v>
      </c>
      <c r="BA36" s="28">
        <v>7.09</v>
      </c>
      <c r="BB36" s="28">
        <v>70.8</v>
      </c>
      <c r="BC36" s="28">
        <v>92.9</v>
      </c>
      <c r="BD36" s="28">
        <v>0.32</v>
      </c>
      <c r="BE36" s="28">
        <v>4.38</v>
      </c>
      <c r="BF36" s="28">
        <v>12.9</v>
      </c>
      <c r="BG36" s="28">
        <v>35.200000000000003</v>
      </c>
      <c r="BH36" s="28">
        <v>209</v>
      </c>
      <c r="BI36" s="28">
        <v>331</v>
      </c>
      <c r="BJ36" s="28">
        <v>180</v>
      </c>
      <c r="BK36" s="28">
        <v>143</v>
      </c>
      <c r="BL36" s="28">
        <v>13.1</v>
      </c>
      <c r="BM36" s="28">
        <v>-11.3</v>
      </c>
    </row>
    <row r="37" spans="1:65" x14ac:dyDescent="0.5">
      <c r="A37" s="44">
        <v>135</v>
      </c>
      <c r="B37" s="28">
        <v>12.4</v>
      </c>
      <c r="C37" s="28">
        <v>3.63</v>
      </c>
      <c r="D37" s="34">
        <v>9.92E-3</v>
      </c>
      <c r="E37" s="28">
        <v>47.3</v>
      </c>
      <c r="F37" s="28">
        <v>49.1</v>
      </c>
      <c r="G37" s="28">
        <v>63.7</v>
      </c>
      <c r="H37" s="28">
        <v>0.01</v>
      </c>
      <c r="I37" s="28">
        <v>1.4</v>
      </c>
      <c r="J37" s="28">
        <v>8.15</v>
      </c>
      <c r="K37" s="28">
        <v>54.4</v>
      </c>
      <c r="L37" s="28">
        <v>25.7</v>
      </c>
      <c r="M37" s="28">
        <v>7.06</v>
      </c>
      <c r="N37" s="28">
        <v>44.9</v>
      </c>
      <c r="O37" s="28">
        <v>30.8</v>
      </c>
      <c r="P37" s="28">
        <v>14.4</v>
      </c>
      <c r="Q37" s="28">
        <v>40.4</v>
      </c>
      <c r="R37" s="28">
        <v>53.6</v>
      </c>
      <c r="S37" s="28">
        <v>5.92</v>
      </c>
      <c r="T37" s="28">
        <v>21.9</v>
      </c>
      <c r="U37" s="28">
        <v>9.59</v>
      </c>
      <c r="V37" s="28">
        <v>43.2</v>
      </c>
      <c r="W37" s="28">
        <v>6.86</v>
      </c>
      <c r="X37" s="28">
        <v>42.9</v>
      </c>
      <c r="Y37" s="28">
        <v>2.66</v>
      </c>
      <c r="Z37" s="28">
        <v>42.4</v>
      </c>
      <c r="AA37" s="28">
        <v>12</v>
      </c>
      <c r="AB37" s="28">
        <v>27.8</v>
      </c>
      <c r="AC37" s="28">
        <v>3.91</v>
      </c>
      <c r="AD37" s="28">
        <v>24.3</v>
      </c>
      <c r="AE37" s="28">
        <v>26.8</v>
      </c>
      <c r="AF37" s="28">
        <v>45</v>
      </c>
      <c r="AG37" s="28">
        <v>19.3</v>
      </c>
      <c r="AH37" s="28">
        <v>6.83</v>
      </c>
      <c r="AI37" s="28">
        <v>23.3</v>
      </c>
      <c r="AJ37" s="28">
        <v>53.2</v>
      </c>
      <c r="AK37" s="28">
        <v>12</v>
      </c>
      <c r="AL37" s="28">
        <v>29.2</v>
      </c>
      <c r="AM37" s="28">
        <v>34</v>
      </c>
      <c r="AN37" s="28">
        <v>1.4</v>
      </c>
      <c r="AO37" s="28">
        <v>2.15</v>
      </c>
      <c r="AP37" s="28">
        <v>2.17</v>
      </c>
      <c r="AQ37" s="28">
        <v>2.44</v>
      </c>
      <c r="AR37" s="28">
        <v>76.3</v>
      </c>
      <c r="AS37" s="28">
        <v>20.8</v>
      </c>
      <c r="AT37" s="28">
        <v>2.68</v>
      </c>
      <c r="AU37" s="28">
        <v>91.1</v>
      </c>
      <c r="AV37" s="28">
        <v>6</v>
      </c>
      <c r="AW37" s="28">
        <v>27.7</v>
      </c>
      <c r="AX37" s="28">
        <v>1.7</v>
      </c>
      <c r="AY37" s="28">
        <v>64.599999999999994</v>
      </c>
      <c r="AZ37" s="28">
        <v>0.28999999999999998</v>
      </c>
      <c r="BA37" s="28">
        <v>3.64</v>
      </c>
      <c r="BB37" s="28">
        <v>74.7</v>
      </c>
      <c r="BC37" s="28">
        <v>77.7</v>
      </c>
      <c r="BD37" s="28">
        <v>0.18</v>
      </c>
      <c r="BE37" s="28">
        <v>2.68</v>
      </c>
      <c r="BF37" s="28">
        <v>40.5</v>
      </c>
      <c r="BG37" s="28">
        <v>-36.9</v>
      </c>
      <c r="BH37" s="28">
        <v>384</v>
      </c>
      <c r="BI37" s="28">
        <v>328</v>
      </c>
      <c r="BJ37" s="28">
        <v>314</v>
      </c>
      <c r="BK37" s="28">
        <v>1082</v>
      </c>
      <c r="BL37" s="28">
        <v>131</v>
      </c>
      <c r="BM37" s="28">
        <v>7.1</v>
      </c>
    </row>
    <row r="38" spans="1:65" x14ac:dyDescent="0.5">
      <c r="A38" s="44">
        <v>136</v>
      </c>
      <c r="B38" s="28">
        <v>7.87</v>
      </c>
      <c r="C38" s="28">
        <v>1.28</v>
      </c>
      <c r="D38" s="28">
        <v>0.27</v>
      </c>
      <c r="E38" s="28">
        <v>33.6</v>
      </c>
      <c r="F38" s="28">
        <v>64.8</v>
      </c>
      <c r="G38" s="28">
        <v>88.2</v>
      </c>
      <c r="H38" s="34">
        <v>5.3800000000000002E-3</v>
      </c>
      <c r="I38" s="28">
        <v>0.23</v>
      </c>
      <c r="J38" s="28">
        <v>2.36</v>
      </c>
      <c r="K38" s="28">
        <v>85.6</v>
      </c>
      <c r="L38" s="28">
        <v>30.5</v>
      </c>
      <c r="M38" s="28">
        <v>6.77</v>
      </c>
      <c r="N38" s="28">
        <v>32.799999999999997</v>
      </c>
      <c r="O38" s="28">
        <v>24.7</v>
      </c>
      <c r="P38" s="28">
        <v>33.9</v>
      </c>
      <c r="Q38" s="28">
        <v>51.2</v>
      </c>
      <c r="R38" s="28">
        <v>51.3</v>
      </c>
      <c r="S38" s="28">
        <v>5.74</v>
      </c>
      <c r="T38" s="28">
        <v>30.9</v>
      </c>
      <c r="U38" s="28">
        <v>7.48</v>
      </c>
      <c r="V38" s="28">
        <v>10.9</v>
      </c>
      <c r="W38" s="28">
        <v>8.39</v>
      </c>
      <c r="X38" s="28">
        <v>31.6</v>
      </c>
      <c r="Y38" s="28">
        <v>12.8</v>
      </c>
      <c r="Z38" s="28">
        <v>32.200000000000003</v>
      </c>
      <c r="AA38" s="28">
        <v>23.5</v>
      </c>
      <c r="AB38" s="28">
        <v>53.6</v>
      </c>
      <c r="AC38" s="28">
        <v>1.74</v>
      </c>
      <c r="AD38" s="28">
        <v>16.899999999999999</v>
      </c>
      <c r="AE38" s="28">
        <v>75.2</v>
      </c>
      <c r="AF38" s="28">
        <v>6.12</v>
      </c>
      <c r="AG38" s="28">
        <v>2.89</v>
      </c>
      <c r="AH38" s="28">
        <v>9.51</v>
      </c>
      <c r="AI38" s="28">
        <v>13.1</v>
      </c>
      <c r="AJ38" s="28">
        <v>70.599999999999994</v>
      </c>
      <c r="AK38" s="28">
        <v>1.65</v>
      </c>
      <c r="AL38" s="28">
        <v>8.9700000000000006</v>
      </c>
      <c r="AM38" s="28">
        <v>52.5</v>
      </c>
      <c r="AN38" s="28">
        <v>5.9</v>
      </c>
      <c r="AO38" s="28">
        <v>1.5</v>
      </c>
      <c r="AP38" s="28">
        <v>32</v>
      </c>
      <c r="AQ38" s="28">
        <v>13.2</v>
      </c>
      <c r="AR38" s="28">
        <v>95.9</v>
      </c>
      <c r="AS38" s="28">
        <v>2.27</v>
      </c>
      <c r="AT38" s="28">
        <v>1.64</v>
      </c>
      <c r="AU38" s="28">
        <v>65.8</v>
      </c>
      <c r="AV38" s="28">
        <v>1.38</v>
      </c>
      <c r="AW38" s="28">
        <v>33.299999999999997</v>
      </c>
      <c r="AX38" s="28">
        <v>3.05</v>
      </c>
      <c r="AY38" s="28">
        <v>62.1</v>
      </c>
      <c r="AZ38" s="28">
        <v>6.16</v>
      </c>
      <c r="BA38" s="28">
        <v>7.32</v>
      </c>
      <c r="BB38" s="28">
        <v>81</v>
      </c>
      <c r="BC38" s="28">
        <v>68.3</v>
      </c>
      <c r="BD38" s="28">
        <v>1.1499999999999999</v>
      </c>
      <c r="BE38" s="28">
        <v>3.13</v>
      </c>
      <c r="BF38" s="28">
        <v>52.4</v>
      </c>
      <c r="BG38" s="28">
        <v>150</v>
      </c>
      <c r="BH38" s="28">
        <v>562</v>
      </c>
      <c r="BI38" s="28">
        <v>405</v>
      </c>
      <c r="BJ38" s="28">
        <v>205</v>
      </c>
      <c r="BK38" s="28">
        <v>96.3</v>
      </c>
      <c r="BL38" s="28">
        <v>0.43</v>
      </c>
      <c r="BM38" s="28">
        <v>47.4</v>
      </c>
    </row>
    <row r="39" spans="1:65" x14ac:dyDescent="0.5">
      <c r="A39" s="44">
        <v>137</v>
      </c>
      <c r="B39" s="28">
        <v>6.91</v>
      </c>
      <c r="C39" s="28">
        <v>8.4</v>
      </c>
      <c r="D39" s="28">
        <v>2.1</v>
      </c>
      <c r="E39" s="28">
        <v>11.4</v>
      </c>
      <c r="F39" s="28">
        <v>78</v>
      </c>
      <c r="G39" s="28">
        <v>88.9</v>
      </c>
      <c r="H39" s="34">
        <v>4.3699999999999998E-3</v>
      </c>
      <c r="I39" s="28">
        <v>9.2999999999999999E-2</v>
      </c>
      <c r="J39" s="28">
        <v>13.8</v>
      </c>
      <c r="K39" s="28">
        <v>75</v>
      </c>
      <c r="L39" s="28">
        <v>31.1</v>
      </c>
      <c r="M39" s="28">
        <v>7.04</v>
      </c>
      <c r="N39" s="28">
        <v>45.4</v>
      </c>
      <c r="O39" s="28">
        <v>22.4</v>
      </c>
      <c r="P39" s="28">
        <v>22.2</v>
      </c>
      <c r="Q39" s="28">
        <v>41.7</v>
      </c>
      <c r="R39" s="28">
        <v>71.5</v>
      </c>
      <c r="S39" s="28">
        <v>1.52</v>
      </c>
      <c r="T39" s="28">
        <v>35.5</v>
      </c>
      <c r="U39" s="28">
        <v>15.7</v>
      </c>
      <c r="V39" s="28">
        <v>35.5</v>
      </c>
      <c r="W39" s="28">
        <v>4.4400000000000004</v>
      </c>
      <c r="X39" s="28">
        <v>56.9</v>
      </c>
      <c r="Y39" s="28">
        <v>2.08</v>
      </c>
      <c r="Z39" s="28">
        <v>26.1</v>
      </c>
      <c r="AA39" s="28">
        <v>14.9</v>
      </c>
      <c r="AB39" s="28">
        <v>42.6</v>
      </c>
      <c r="AC39" s="28">
        <v>1.39</v>
      </c>
      <c r="AD39" s="28">
        <v>4.42</v>
      </c>
      <c r="AE39" s="28">
        <v>52.4</v>
      </c>
      <c r="AF39" s="28">
        <v>41.7</v>
      </c>
      <c r="AG39" s="28">
        <v>1.68</v>
      </c>
      <c r="AH39" s="28">
        <v>21.6</v>
      </c>
      <c r="AI39" s="28">
        <v>31.8</v>
      </c>
      <c r="AJ39" s="28">
        <v>25.8</v>
      </c>
      <c r="AK39" s="28">
        <v>3.22</v>
      </c>
      <c r="AL39" s="28">
        <v>16.7</v>
      </c>
      <c r="AM39" s="28">
        <v>61.7</v>
      </c>
      <c r="AN39" s="28">
        <v>4.97</v>
      </c>
      <c r="AO39" s="28">
        <v>13.2</v>
      </c>
      <c r="AP39" s="28">
        <v>72.7</v>
      </c>
      <c r="AQ39" s="28">
        <v>18.7</v>
      </c>
      <c r="AR39" s="28">
        <v>77</v>
      </c>
      <c r="AS39" s="28">
        <v>2.2000000000000002</v>
      </c>
      <c r="AT39" s="28">
        <v>20</v>
      </c>
      <c r="AU39" s="28">
        <v>10.6</v>
      </c>
      <c r="AV39" s="28">
        <v>0</v>
      </c>
      <c r="AW39" s="28">
        <v>6.13</v>
      </c>
      <c r="AX39" s="28">
        <v>3.78</v>
      </c>
      <c r="AY39" s="28">
        <v>88.2</v>
      </c>
      <c r="AZ39" s="28">
        <v>1.57</v>
      </c>
      <c r="BA39" s="28">
        <v>31.8</v>
      </c>
      <c r="BB39" s="28">
        <v>80.900000000000006</v>
      </c>
      <c r="BC39" s="28">
        <v>87.2</v>
      </c>
      <c r="BD39" s="28">
        <v>0.98</v>
      </c>
      <c r="BE39" s="28">
        <v>6.82</v>
      </c>
      <c r="BF39" s="28">
        <v>51.9</v>
      </c>
      <c r="BG39" s="28">
        <v>271</v>
      </c>
      <c r="BH39" s="28">
        <v>919</v>
      </c>
      <c r="BI39" s="28">
        <v>581</v>
      </c>
      <c r="BJ39" s="28">
        <v>723</v>
      </c>
      <c r="BK39" s="28">
        <v>731</v>
      </c>
      <c r="BL39" s="28">
        <v>134</v>
      </c>
      <c r="BM39" s="28">
        <v>34.200000000000003</v>
      </c>
    </row>
    <row r="40" spans="1:65" x14ac:dyDescent="0.5">
      <c r="A40" s="44">
        <v>138</v>
      </c>
      <c r="B40" s="28">
        <v>11.9</v>
      </c>
      <c r="C40" s="28">
        <v>4.05</v>
      </c>
      <c r="D40" s="28">
        <v>8.3000000000000004E-2</v>
      </c>
      <c r="E40" s="28">
        <v>29.3</v>
      </c>
      <c r="F40" s="28">
        <v>66.5</v>
      </c>
      <c r="G40" s="28">
        <v>78.099999999999994</v>
      </c>
      <c r="H40" s="34">
        <v>5.6899999999999997E-3</v>
      </c>
      <c r="I40" s="28">
        <v>0.57999999999999996</v>
      </c>
      <c r="J40" s="28">
        <v>2.96</v>
      </c>
      <c r="K40" s="28">
        <v>74.7</v>
      </c>
      <c r="L40" s="28">
        <v>54.2</v>
      </c>
      <c r="M40" s="28">
        <v>6.33</v>
      </c>
      <c r="N40" s="28">
        <v>37.1</v>
      </c>
      <c r="O40" s="28">
        <v>39.200000000000003</v>
      </c>
      <c r="P40" s="28">
        <v>14.6</v>
      </c>
      <c r="Q40" s="28">
        <v>47.6</v>
      </c>
      <c r="R40" s="28">
        <v>48.1</v>
      </c>
      <c r="S40" s="28">
        <v>9</v>
      </c>
      <c r="T40" s="28">
        <v>11.4</v>
      </c>
      <c r="U40" s="28">
        <v>8.86</v>
      </c>
      <c r="V40" s="28">
        <v>35.299999999999997</v>
      </c>
      <c r="W40" s="28">
        <v>7.68</v>
      </c>
      <c r="X40" s="28">
        <v>29</v>
      </c>
      <c r="Y40" s="28">
        <v>2.94</v>
      </c>
      <c r="Z40" s="28">
        <v>62.1</v>
      </c>
      <c r="AA40" s="28">
        <v>5.93</v>
      </c>
      <c r="AB40" s="28">
        <v>19.600000000000001</v>
      </c>
      <c r="AC40" s="28">
        <v>10.3</v>
      </c>
      <c r="AD40" s="28">
        <v>22.9</v>
      </c>
      <c r="AE40" s="28">
        <v>40.5</v>
      </c>
      <c r="AF40" s="28">
        <v>26</v>
      </c>
      <c r="AG40" s="28">
        <v>7.57</v>
      </c>
      <c r="AH40" s="28">
        <v>5.25</v>
      </c>
      <c r="AI40" s="28">
        <v>26.2</v>
      </c>
      <c r="AJ40" s="28">
        <v>52.8</v>
      </c>
      <c r="AK40" s="28">
        <v>8.92</v>
      </c>
      <c r="AL40" s="28">
        <v>4.8499999999999996</v>
      </c>
      <c r="AM40" s="28">
        <v>15.2</v>
      </c>
      <c r="AN40" s="28">
        <v>0.59</v>
      </c>
      <c r="AO40" s="28">
        <v>1.44</v>
      </c>
      <c r="AP40" s="28">
        <v>3.42</v>
      </c>
      <c r="AQ40" s="28">
        <v>3.99</v>
      </c>
      <c r="AR40" s="28">
        <v>94.9</v>
      </c>
      <c r="AS40" s="28">
        <v>2.99</v>
      </c>
      <c r="AT40" s="28">
        <v>1.83</v>
      </c>
      <c r="AU40" s="28">
        <v>91.3</v>
      </c>
      <c r="AV40" s="28">
        <v>2.0699999999999998</v>
      </c>
      <c r="AW40" s="28">
        <v>56.6</v>
      </c>
      <c r="AX40" s="28">
        <v>19.7</v>
      </c>
      <c r="AY40" s="28">
        <v>21.6</v>
      </c>
      <c r="AZ40" s="28">
        <v>1.06</v>
      </c>
      <c r="BA40" s="28">
        <v>2.4500000000000002</v>
      </c>
      <c r="BB40" s="28">
        <v>29.9</v>
      </c>
      <c r="BC40" s="28">
        <v>56.1</v>
      </c>
      <c r="BD40" s="28">
        <v>0.25</v>
      </c>
      <c r="BE40" s="28">
        <v>1.59</v>
      </c>
      <c r="BF40" s="28">
        <v>23.6</v>
      </c>
      <c r="BG40" s="28">
        <v>74.900000000000006</v>
      </c>
      <c r="BH40" s="28">
        <v>382</v>
      </c>
      <c r="BI40" s="28">
        <v>456</v>
      </c>
      <c r="BJ40" s="28">
        <v>234</v>
      </c>
      <c r="BK40" s="28">
        <v>410</v>
      </c>
      <c r="BL40" s="28">
        <v>243</v>
      </c>
      <c r="BM40" s="28">
        <v>94.7</v>
      </c>
    </row>
    <row r="41" spans="1:65" x14ac:dyDescent="0.5">
      <c r="A41" s="44">
        <v>139</v>
      </c>
      <c r="B41" s="28">
        <v>0.95</v>
      </c>
      <c r="C41" s="28">
        <v>32.799999999999997</v>
      </c>
      <c r="D41" s="28">
        <v>0.43</v>
      </c>
      <c r="E41" s="28">
        <v>34</v>
      </c>
      <c r="F41" s="28">
        <v>32.700000000000003</v>
      </c>
      <c r="G41" s="28">
        <v>77.400000000000006</v>
      </c>
      <c r="H41" s="34">
        <v>7.7299999999999999E-3</v>
      </c>
      <c r="I41" s="28">
        <v>0.25</v>
      </c>
      <c r="J41" s="28">
        <v>1.31</v>
      </c>
      <c r="K41" s="28">
        <v>75.900000000000006</v>
      </c>
      <c r="L41" s="28">
        <v>44.4</v>
      </c>
      <c r="M41" s="28">
        <v>14.8</v>
      </c>
      <c r="N41" s="28">
        <v>57.1</v>
      </c>
      <c r="O41" s="28">
        <v>18.399999999999999</v>
      </c>
      <c r="P41" s="28">
        <v>6.4</v>
      </c>
      <c r="Q41" s="28">
        <v>17.3</v>
      </c>
      <c r="R41" s="28">
        <v>38.6</v>
      </c>
      <c r="S41" s="28">
        <v>14.5</v>
      </c>
      <c r="T41" s="28">
        <v>34</v>
      </c>
      <c r="U41" s="28">
        <v>21</v>
      </c>
      <c r="V41" s="28">
        <v>59.5</v>
      </c>
      <c r="W41" s="28">
        <v>8.68</v>
      </c>
      <c r="X41" s="28">
        <v>34</v>
      </c>
      <c r="Y41" s="28">
        <v>6.67</v>
      </c>
      <c r="Z41" s="28">
        <v>42.1</v>
      </c>
      <c r="AA41" s="28">
        <v>17.2</v>
      </c>
      <c r="AB41" s="28">
        <v>27.9</v>
      </c>
      <c r="AC41" s="28">
        <v>4.01</v>
      </c>
      <c r="AD41" s="28">
        <v>5.6</v>
      </c>
      <c r="AE41" s="28">
        <v>12.7</v>
      </c>
      <c r="AF41" s="28">
        <v>77.7</v>
      </c>
      <c r="AG41" s="28">
        <v>12.3</v>
      </c>
      <c r="AH41" s="28">
        <v>4.63</v>
      </c>
      <c r="AI41" s="28">
        <v>11</v>
      </c>
      <c r="AJ41" s="28">
        <v>79.5</v>
      </c>
      <c r="AK41" s="28">
        <v>2.25</v>
      </c>
      <c r="AL41" s="28">
        <v>2.84</v>
      </c>
      <c r="AM41" s="28">
        <v>32.9</v>
      </c>
      <c r="AN41" s="28">
        <v>0.36</v>
      </c>
      <c r="AO41" s="28">
        <v>2.4</v>
      </c>
      <c r="AP41" s="28">
        <v>11.4</v>
      </c>
      <c r="AQ41" s="28">
        <v>27.6</v>
      </c>
      <c r="AR41" s="28">
        <v>87.5</v>
      </c>
      <c r="AS41" s="28">
        <v>9.94</v>
      </c>
      <c r="AT41" s="28">
        <v>2.36</v>
      </c>
      <c r="AU41" s="28">
        <v>59.5</v>
      </c>
      <c r="AV41" s="28">
        <v>4.33</v>
      </c>
      <c r="AW41" s="28">
        <v>47.7</v>
      </c>
      <c r="AX41" s="28">
        <v>4.43</v>
      </c>
      <c r="AY41" s="28">
        <v>36.700000000000003</v>
      </c>
      <c r="AZ41" s="28">
        <v>0.27</v>
      </c>
      <c r="BA41" s="28">
        <v>6.44</v>
      </c>
      <c r="BB41" s="28">
        <v>36.9</v>
      </c>
      <c r="BC41" s="28">
        <v>60.8</v>
      </c>
      <c r="BD41" s="28">
        <v>0.16</v>
      </c>
      <c r="BE41" s="28">
        <v>3.55</v>
      </c>
      <c r="BF41" s="28">
        <v>20.2</v>
      </c>
      <c r="BG41" s="28">
        <v>68.099999999999994</v>
      </c>
      <c r="BH41" s="28">
        <v>546</v>
      </c>
      <c r="BI41" s="28">
        <v>792</v>
      </c>
      <c r="BJ41" s="28">
        <v>482</v>
      </c>
      <c r="BK41" s="28">
        <v>807</v>
      </c>
      <c r="BL41" s="28">
        <v>219</v>
      </c>
      <c r="BM41" s="28">
        <v>29.9</v>
      </c>
    </row>
    <row r="42" spans="1:65" x14ac:dyDescent="0.5">
      <c r="A42" s="44">
        <v>140</v>
      </c>
      <c r="B42" s="30">
        <v>27.4</v>
      </c>
      <c r="C42" s="30">
        <v>5.3</v>
      </c>
      <c r="D42" s="30">
        <v>0.16</v>
      </c>
      <c r="E42" s="30">
        <v>44.8</v>
      </c>
      <c r="F42" s="30">
        <v>49.8</v>
      </c>
      <c r="G42" s="30">
        <v>50.1</v>
      </c>
      <c r="H42" s="30">
        <v>0.76</v>
      </c>
      <c r="I42" s="30">
        <v>0.35</v>
      </c>
      <c r="J42" s="30">
        <v>3.18</v>
      </c>
      <c r="K42" s="30">
        <v>44.4</v>
      </c>
      <c r="L42" s="30">
        <v>24.2</v>
      </c>
      <c r="M42" s="30">
        <v>5.4</v>
      </c>
      <c r="N42" s="30">
        <v>53.6</v>
      </c>
      <c r="O42" s="30">
        <v>31.4</v>
      </c>
      <c r="P42" s="30">
        <v>7.09</v>
      </c>
      <c r="Q42" s="30">
        <v>31.5</v>
      </c>
      <c r="R42" s="30">
        <v>38.4</v>
      </c>
      <c r="S42" s="30">
        <v>5.44</v>
      </c>
      <c r="T42" s="30">
        <v>39.6</v>
      </c>
      <c r="U42" s="30">
        <v>16.600000000000001</v>
      </c>
      <c r="V42" s="30">
        <v>51.9</v>
      </c>
      <c r="W42" s="30">
        <v>7.49</v>
      </c>
      <c r="X42" s="30">
        <v>34.700000000000003</v>
      </c>
      <c r="Y42" s="30">
        <v>5.29</v>
      </c>
      <c r="Z42" s="30">
        <v>47</v>
      </c>
      <c r="AA42" s="30">
        <v>13</v>
      </c>
      <c r="AB42" s="30">
        <v>19</v>
      </c>
      <c r="AC42" s="30">
        <v>5.17</v>
      </c>
      <c r="AD42" s="30">
        <v>6.9</v>
      </c>
      <c r="AE42" s="30">
        <v>62.7</v>
      </c>
      <c r="AF42" s="30">
        <v>25.2</v>
      </c>
      <c r="AG42" s="30">
        <v>18.2</v>
      </c>
      <c r="AH42" s="30">
        <v>6.5</v>
      </c>
      <c r="AI42" s="30">
        <v>5.89</v>
      </c>
      <c r="AJ42" s="30">
        <v>78.099999999999994</v>
      </c>
      <c r="AK42" s="30">
        <v>4.72</v>
      </c>
      <c r="AL42" s="30">
        <v>4.7699999999999996</v>
      </c>
      <c r="AM42" s="30">
        <v>55.1</v>
      </c>
      <c r="AN42" s="30">
        <v>1.48</v>
      </c>
      <c r="AO42" s="30">
        <v>1.1200000000000001</v>
      </c>
      <c r="AP42" s="30">
        <v>12.2</v>
      </c>
      <c r="AQ42" s="30">
        <v>13.5</v>
      </c>
      <c r="AR42" s="30">
        <v>57.2</v>
      </c>
      <c r="AS42" s="30">
        <v>41.5</v>
      </c>
      <c r="AT42" s="30">
        <v>1.27</v>
      </c>
      <c r="AU42" s="30">
        <v>65.900000000000006</v>
      </c>
      <c r="AV42" s="30">
        <v>15.1</v>
      </c>
      <c r="AW42" s="30">
        <v>20.3</v>
      </c>
      <c r="AX42" s="30">
        <v>5.3</v>
      </c>
      <c r="AY42" s="30">
        <v>68.099999999999994</v>
      </c>
      <c r="AZ42" s="30">
        <v>6.82</v>
      </c>
      <c r="BA42" s="30">
        <v>7.48</v>
      </c>
      <c r="BB42" s="30">
        <v>59.1</v>
      </c>
      <c r="BC42" s="30">
        <v>81.7</v>
      </c>
      <c r="BD42" s="30">
        <v>0.82</v>
      </c>
      <c r="BE42" s="30">
        <v>3.18</v>
      </c>
      <c r="BF42" s="30">
        <v>13.8</v>
      </c>
      <c r="BG42" s="30">
        <v>-8.67</v>
      </c>
      <c r="BH42" s="30">
        <v>407</v>
      </c>
      <c r="BI42" s="30">
        <v>464</v>
      </c>
      <c r="BJ42" s="30">
        <v>167</v>
      </c>
      <c r="BK42" s="30">
        <v>450</v>
      </c>
      <c r="BL42" s="30">
        <v>185</v>
      </c>
      <c r="BM42" s="30">
        <v>51.5</v>
      </c>
    </row>
    <row r="43" spans="1:65" x14ac:dyDescent="0.5">
      <c r="A43" s="44">
        <v>141</v>
      </c>
      <c r="B43" s="30">
        <v>11.6</v>
      </c>
      <c r="C43" s="30">
        <v>1.33</v>
      </c>
      <c r="D43" s="30">
        <v>5.6000000000000001E-2</v>
      </c>
      <c r="E43" s="30">
        <v>13.5</v>
      </c>
      <c r="F43" s="30">
        <v>85.1</v>
      </c>
      <c r="G43" s="30">
        <v>66.599999999999994</v>
      </c>
      <c r="H43" s="36">
        <v>5.1000000000000004E-3</v>
      </c>
      <c r="I43" s="30">
        <v>0.3</v>
      </c>
      <c r="J43" s="30">
        <v>1.0900000000000001</v>
      </c>
      <c r="K43" s="30">
        <v>65.3</v>
      </c>
      <c r="L43" s="30">
        <v>43.1</v>
      </c>
      <c r="M43" s="30">
        <v>5.07</v>
      </c>
      <c r="N43" s="30">
        <v>53.8</v>
      </c>
      <c r="O43" s="30">
        <v>19.399999999999999</v>
      </c>
      <c r="P43" s="30">
        <v>19.399999999999999</v>
      </c>
      <c r="Q43" s="30">
        <v>36.1</v>
      </c>
      <c r="R43" s="30">
        <v>89.2</v>
      </c>
      <c r="S43" s="30">
        <v>0.64</v>
      </c>
      <c r="T43" s="30">
        <v>6.24</v>
      </c>
      <c r="U43" s="30">
        <v>3.9</v>
      </c>
      <c r="V43" s="30">
        <v>53.3</v>
      </c>
      <c r="W43" s="30">
        <v>3.7</v>
      </c>
      <c r="X43" s="30">
        <v>69.8</v>
      </c>
      <c r="Y43" s="30">
        <v>1.34</v>
      </c>
      <c r="Z43" s="30">
        <v>22.4</v>
      </c>
      <c r="AA43" s="30">
        <v>6.54</v>
      </c>
      <c r="AB43" s="30">
        <v>21.1</v>
      </c>
      <c r="AC43" s="30">
        <v>2.68</v>
      </c>
      <c r="AD43" s="30">
        <v>21.3</v>
      </c>
      <c r="AE43" s="30">
        <v>66.099999999999994</v>
      </c>
      <c r="AF43" s="30">
        <v>9.81</v>
      </c>
      <c r="AG43" s="30">
        <v>17.100000000000001</v>
      </c>
      <c r="AH43" s="30">
        <v>15.1</v>
      </c>
      <c r="AI43" s="30">
        <v>7.89</v>
      </c>
      <c r="AJ43" s="30">
        <v>72.3</v>
      </c>
      <c r="AK43" s="30">
        <v>1.34</v>
      </c>
      <c r="AL43" s="30">
        <v>2.56</v>
      </c>
      <c r="AM43" s="30">
        <v>56.6</v>
      </c>
      <c r="AN43" s="30">
        <v>0.28000000000000003</v>
      </c>
      <c r="AO43" s="30">
        <v>1.48</v>
      </c>
      <c r="AP43" s="30">
        <v>27.4</v>
      </c>
      <c r="AQ43" s="30">
        <v>16.100000000000001</v>
      </c>
      <c r="AR43" s="30">
        <v>93.9</v>
      </c>
      <c r="AS43" s="30">
        <v>4</v>
      </c>
      <c r="AT43" s="30">
        <v>1.77</v>
      </c>
      <c r="AU43" s="30">
        <v>54.5</v>
      </c>
      <c r="AV43" s="30">
        <v>3.7</v>
      </c>
      <c r="AW43" s="30">
        <v>31.7</v>
      </c>
      <c r="AX43" s="30">
        <v>3.66</v>
      </c>
      <c r="AY43" s="30">
        <v>61</v>
      </c>
      <c r="AZ43" s="30">
        <v>5.64</v>
      </c>
      <c r="BA43" s="30">
        <v>15.5</v>
      </c>
      <c r="BB43" s="30">
        <v>88.6</v>
      </c>
      <c r="BC43" s="30">
        <v>82.9</v>
      </c>
      <c r="BD43" s="30">
        <v>0.5</v>
      </c>
      <c r="BE43" s="30">
        <v>4.22</v>
      </c>
      <c r="BF43" s="30">
        <v>80.599999999999994</v>
      </c>
      <c r="BG43" s="30">
        <v>161</v>
      </c>
      <c r="BH43" s="30">
        <v>1066</v>
      </c>
      <c r="BI43" s="30">
        <v>918</v>
      </c>
      <c r="BJ43" s="30">
        <v>618</v>
      </c>
      <c r="BK43" s="30">
        <v>431</v>
      </c>
      <c r="BL43" s="30">
        <v>230</v>
      </c>
      <c r="BM43" s="30">
        <v>107</v>
      </c>
    </row>
    <row r="44" spans="1:65" x14ac:dyDescent="0.5">
      <c r="A44" s="44">
        <v>142</v>
      </c>
      <c r="B44" s="30">
        <v>12.3</v>
      </c>
      <c r="C44" s="30">
        <v>5.81</v>
      </c>
      <c r="D44" s="30">
        <v>0.27</v>
      </c>
      <c r="E44" s="30">
        <v>38</v>
      </c>
      <c r="F44" s="30">
        <v>55.9</v>
      </c>
      <c r="G44" s="30">
        <v>48.7</v>
      </c>
      <c r="H44" s="30">
        <v>0.64</v>
      </c>
      <c r="I44" s="30">
        <v>0.4</v>
      </c>
      <c r="J44" s="30">
        <v>2.72</v>
      </c>
      <c r="K44" s="30">
        <v>44</v>
      </c>
      <c r="L44" s="30">
        <v>22.5</v>
      </c>
      <c r="M44" s="30">
        <v>9.7899999999999991</v>
      </c>
      <c r="N44" s="30">
        <v>14.1</v>
      </c>
      <c r="O44" s="30">
        <v>53.1</v>
      </c>
      <c r="P44" s="30">
        <v>22.1</v>
      </c>
      <c r="Q44" s="30">
        <v>61.2</v>
      </c>
      <c r="R44" s="30">
        <v>46.4</v>
      </c>
      <c r="S44" s="30">
        <v>5.99</v>
      </c>
      <c r="T44" s="30">
        <v>43.2</v>
      </c>
      <c r="U44" s="30">
        <v>4.42</v>
      </c>
      <c r="V44" s="30">
        <v>13.5</v>
      </c>
      <c r="W44" s="30">
        <v>14.3</v>
      </c>
      <c r="X44" s="30">
        <v>28.5</v>
      </c>
      <c r="Y44" s="30">
        <v>5.9</v>
      </c>
      <c r="Z44" s="30">
        <v>57.7</v>
      </c>
      <c r="AA44" s="30">
        <v>7.9</v>
      </c>
      <c r="AB44" s="30">
        <v>19.3</v>
      </c>
      <c r="AC44" s="30">
        <v>31.6</v>
      </c>
      <c r="AD44" s="30">
        <v>35.5</v>
      </c>
      <c r="AE44" s="30">
        <v>25.1</v>
      </c>
      <c r="AF44" s="30">
        <v>7.7</v>
      </c>
      <c r="AG44" s="30">
        <v>38</v>
      </c>
      <c r="AH44" s="30">
        <v>5.55</v>
      </c>
      <c r="AI44" s="30">
        <v>3.39</v>
      </c>
      <c r="AJ44" s="30">
        <v>49</v>
      </c>
      <c r="AK44" s="30">
        <v>39.200000000000003</v>
      </c>
      <c r="AL44" s="30">
        <v>6.05</v>
      </c>
      <c r="AM44" s="30">
        <v>29.8</v>
      </c>
      <c r="AN44" s="30">
        <v>1.21</v>
      </c>
      <c r="AO44" s="30">
        <v>0.37</v>
      </c>
      <c r="AP44" s="30">
        <v>2.86</v>
      </c>
      <c r="AQ44" s="30">
        <v>0.56999999999999995</v>
      </c>
      <c r="AR44" s="30">
        <v>62.6</v>
      </c>
      <c r="AS44" s="30">
        <v>36.700000000000003</v>
      </c>
      <c r="AT44" s="30">
        <v>0.61</v>
      </c>
      <c r="AU44" s="30">
        <v>72.7</v>
      </c>
      <c r="AV44" s="30">
        <v>25.8</v>
      </c>
      <c r="AW44" s="30">
        <v>44.6</v>
      </c>
      <c r="AX44" s="30">
        <v>11</v>
      </c>
      <c r="AY44" s="30">
        <v>38.299999999999997</v>
      </c>
      <c r="AZ44" s="30">
        <v>9.02</v>
      </c>
      <c r="BA44" s="30">
        <v>6.98</v>
      </c>
      <c r="BB44" s="30">
        <v>54.2</v>
      </c>
      <c r="BC44" s="30">
        <v>80.099999999999994</v>
      </c>
      <c r="BD44" s="30">
        <v>1.02</v>
      </c>
      <c r="BE44" s="30">
        <v>3.46</v>
      </c>
      <c r="BF44" s="30">
        <v>20.6</v>
      </c>
      <c r="BG44" s="30">
        <v>-5.1100000000000003</v>
      </c>
      <c r="BH44" s="30">
        <v>537</v>
      </c>
      <c r="BI44" s="30">
        <v>645</v>
      </c>
      <c r="BJ44" s="30">
        <v>161</v>
      </c>
      <c r="BK44" s="30">
        <v>271</v>
      </c>
      <c r="BL44" s="30">
        <v>134</v>
      </c>
      <c r="BM44" s="30">
        <v>140</v>
      </c>
    </row>
    <row r="45" spans="1:65" x14ac:dyDescent="0.5">
      <c r="A45" s="44">
        <v>143</v>
      </c>
      <c r="B45" s="37">
        <v>29.6</v>
      </c>
      <c r="C45" s="37">
        <v>2.69</v>
      </c>
      <c r="D45" s="37">
        <v>0.49</v>
      </c>
      <c r="E45" s="37">
        <v>25.6</v>
      </c>
      <c r="F45" s="37">
        <v>71.2</v>
      </c>
      <c r="G45" s="37">
        <v>59.3</v>
      </c>
      <c r="H45" s="37">
        <v>5.1999999999999998E-2</v>
      </c>
      <c r="I45" s="37">
        <v>0.26</v>
      </c>
      <c r="J45" s="37">
        <v>1.22</v>
      </c>
      <c r="K45" s="37">
        <v>56.2</v>
      </c>
      <c r="L45" s="37">
        <v>26.9</v>
      </c>
      <c r="M45" s="37">
        <v>21.6</v>
      </c>
      <c r="N45" s="37">
        <v>71</v>
      </c>
      <c r="O45" s="37">
        <v>2.42</v>
      </c>
      <c r="P45" s="37">
        <v>2.33</v>
      </c>
      <c r="Q45" s="37">
        <v>6.13</v>
      </c>
      <c r="R45" s="37">
        <v>74.5</v>
      </c>
      <c r="S45" s="37">
        <v>0.65</v>
      </c>
      <c r="T45" s="37">
        <v>25.9</v>
      </c>
      <c r="U45" s="37">
        <v>2.82</v>
      </c>
      <c r="V45" s="37">
        <v>35.9</v>
      </c>
      <c r="W45" s="37">
        <v>3.1E-2</v>
      </c>
      <c r="X45" s="37">
        <v>57.1</v>
      </c>
      <c r="Y45" s="37">
        <v>0</v>
      </c>
      <c r="Z45" s="37">
        <v>42.9</v>
      </c>
      <c r="AA45" s="37">
        <v>0</v>
      </c>
      <c r="AB45" s="37">
        <v>27.2</v>
      </c>
      <c r="AC45" s="37">
        <v>0.28999999999999998</v>
      </c>
      <c r="AD45" s="37">
        <v>2.2400000000000002</v>
      </c>
      <c r="AE45" s="37">
        <v>77.7</v>
      </c>
      <c r="AF45" s="37">
        <v>19.7</v>
      </c>
      <c r="AG45" s="37">
        <v>5.24</v>
      </c>
      <c r="AH45" s="37">
        <v>39.700000000000003</v>
      </c>
      <c r="AI45" s="37">
        <v>35.9</v>
      </c>
      <c r="AJ45" s="37">
        <v>16.600000000000001</v>
      </c>
      <c r="AK45" s="37">
        <v>2.34</v>
      </c>
      <c r="AL45" s="37">
        <v>37.799999999999997</v>
      </c>
      <c r="AM45" s="37">
        <v>52.4</v>
      </c>
      <c r="AN45" s="37">
        <v>5.48</v>
      </c>
      <c r="AO45" s="37">
        <v>27.4</v>
      </c>
      <c r="AP45" s="37">
        <v>3.88</v>
      </c>
      <c r="AQ45" s="37">
        <v>26.2</v>
      </c>
      <c r="AR45" s="37">
        <v>58.5</v>
      </c>
      <c r="AS45" s="37">
        <v>9.0399999999999991</v>
      </c>
      <c r="AT45" s="37">
        <v>31.9</v>
      </c>
      <c r="AU45" s="37">
        <v>64.099999999999994</v>
      </c>
      <c r="AV45" s="37">
        <v>5.83</v>
      </c>
      <c r="AW45" s="37">
        <v>1.01</v>
      </c>
      <c r="AX45" s="37">
        <v>2.0299999999999998</v>
      </c>
      <c r="AY45" s="37">
        <v>95.4</v>
      </c>
      <c r="AZ45" s="37">
        <v>5.45</v>
      </c>
      <c r="BA45" s="37">
        <v>12.1</v>
      </c>
      <c r="BB45" s="37">
        <v>42.9</v>
      </c>
      <c r="BC45" s="37">
        <v>71.599999999999994</v>
      </c>
      <c r="BD45" s="37">
        <v>2.29</v>
      </c>
      <c r="BE45" s="37">
        <v>6.06</v>
      </c>
      <c r="BF45" s="37">
        <v>14.9</v>
      </c>
      <c r="BG45" s="37">
        <v>519</v>
      </c>
      <c r="BH45" s="37">
        <v>1815</v>
      </c>
      <c r="BI45" s="37">
        <v>1120</v>
      </c>
      <c r="BJ45" s="37">
        <v>961</v>
      </c>
      <c r="BK45" s="37">
        <v>2806</v>
      </c>
      <c r="BL45" s="37">
        <v>571</v>
      </c>
      <c r="BM45" s="37">
        <v>93.4</v>
      </c>
    </row>
    <row r="46" spans="1:65" x14ac:dyDescent="0.5">
      <c r="A46" s="44">
        <v>144</v>
      </c>
      <c r="B46" s="29">
        <v>7.62</v>
      </c>
      <c r="C46" s="29">
        <v>6.48</v>
      </c>
      <c r="D46" s="29">
        <v>0.5</v>
      </c>
      <c r="E46" s="29">
        <v>50.7</v>
      </c>
      <c r="F46" s="29">
        <v>42.3</v>
      </c>
      <c r="G46" s="29">
        <v>86</v>
      </c>
      <c r="H46" s="29">
        <v>5.3999999999999999E-2</v>
      </c>
      <c r="I46" s="29">
        <v>0.45</v>
      </c>
      <c r="J46" s="29">
        <v>1.22</v>
      </c>
      <c r="K46" s="29">
        <v>84.3</v>
      </c>
      <c r="L46" s="29">
        <v>57.3</v>
      </c>
      <c r="M46" s="29">
        <v>12.5</v>
      </c>
      <c r="N46" s="29">
        <v>74.2</v>
      </c>
      <c r="O46" s="29">
        <v>8.8000000000000007</v>
      </c>
      <c r="P46" s="29">
        <v>4.21</v>
      </c>
      <c r="Q46" s="29">
        <v>10.8</v>
      </c>
      <c r="R46" s="29">
        <v>78.900000000000006</v>
      </c>
      <c r="S46" s="29">
        <v>1.17</v>
      </c>
      <c r="T46" s="29">
        <v>22</v>
      </c>
      <c r="U46" s="29">
        <v>6.82</v>
      </c>
      <c r="V46" s="29">
        <v>74</v>
      </c>
      <c r="W46" s="29">
        <v>1.93</v>
      </c>
      <c r="X46" s="29">
        <v>63.1</v>
      </c>
      <c r="Y46" s="29">
        <v>1.36</v>
      </c>
      <c r="Z46" s="29">
        <v>26.1</v>
      </c>
      <c r="AA46" s="29">
        <v>9.3800000000000008</v>
      </c>
      <c r="AB46" s="29">
        <v>24.6</v>
      </c>
      <c r="AC46" s="29">
        <v>1</v>
      </c>
      <c r="AD46" s="29">
        <v>10.1</v>
      </c>
      <c r="AE46" s="29">
        <v>26.9</v>
      </c>
      <c r="AF46" s="29">
        <v>62</v>
      </c>
      <c r="AG46" s="29">
        <v>1.35</v>
      </c>
      <c r="AH46" s="29">
        <v>13</v>
      </c>
      <c r="AI46" s="29">
        <v>2.2400000000000002</v>
      </c>
      <c r="AJ46" s="29">
        <v>35.9</v>
      </c>
      <c r="AK46" s="29">
        <v>47.7</v>
      </c>
      <c r="AL46" s="29">
        <v>6.52</v>
      </c>
      <c r="AM46" s="29">
        <v>45.7</v>
      </c>
      <c r="AN46" s="29">
        <v>2.0299999999999998</v>
      </c>
      <c r="AO46" s="29">
        <v>0.68</v>
      </c>
      <c r="AP46" s="29">
        <v>2.5499999999999998</v>
      </c>
      <c r="AQ46" s="29">
        <v>0.1</v>
      </c>
      <c r="AR46" s="29">
        <v>81.7</v>
      </c>
      <c r="AS46" s="29">
        <v>16.399999999999999</v>
      </c>
      <c r="AT46" s="29">
        <v>1.49</v>
      </c>
      <c r="AU46" s="29">
        <v>83.4</v>
      </c>
      <c r="AV46" s="29">
        <v>14.8</v>
      </c>
      <c r="AW46" s="29">
        <v>21.7</v>
      </c>
      <c r="AX46" s="29">
        <v>10.9</v>
      </c>
      <c r="AY46" s="29">
        <v>65.2</v>
      </c>
      <c r="AZ46" s="29">
        <v>0.8</v>
      </c>
      <c r="BA46" s="29">
        <v>18.7</v>
      </c>
      <c r="BB46" s="29">
        <v>70.599999999999994</v>
      </c>
      <c r="BC46" s="29">
        <v>71</v>
      </c>
      <c r="BD46" s="29">
        <v>0.12</v>
      </c>
      <c r="BE46" s="29">
        <v>3.21</v>
      </c>
      <c r="BF46" s="29">
        <v>10.8</v>
      </c>
      <c r="BG46" s="29">
        <v>-47</v>
      </c>
      <c r="BH46" s="29">
        <v>549</v>
      </c>
      <c r="BI46" s="29">
        <v>380</v>
      </c>
      <c r="BJ46" s="29">
        <v>404</v>
      </c>
      <c r="BK46" s="29">
        <v>874</v>
      </c>
      <c r="BL46" s="29">
        <v>479</v>
      </c>
      <c r="BM46" s="29">
        <v>-61.2</v>
      </c>
    </row>
    <row r="47" spans="1:65" x14ac:dyDescent="0.5">
      <c r="A47" s="44">
        <v>145</v>
      </c>
      <c r="B47" s="30">
        <v>5.71</v>
      </c>
      <c r="C47" s="30">
        <v>5.89</v>
      </c>
      <c r="D47" s="30">
        <v>0.62</v>
      </c>
      <c r="E47" s="30">
        <v>37.299999999999997</v>
      </c>
      <c r="F47" s="30">
        <v>55.4</v>
      </c>
      <c r="G47" s="30">
        <v>70.599999999999994</v>
      </c>
      <c r="H47" s="30">
        <v>2.8000000000000001E-2</v>
      </c>
      <c r="I47" s="30">
        <v>0.65</v>
      </c>
      <c r="J47" s="30">
        <v>1.21</v>
      </c>
      <c r="K47" s="30">
        <v>68.8</v>
      </c>
      <c r="L47" s="30">
        <v>32</v>
      </c>
      <c r="M47" s="30">
        <v>18.399999999999999</v>
      </c>
      <c r="N47" s="30">
        <v>53.6</v>
      </c>
      <c r="O47" s="30">
        <v>12.1</v>
      </c>
      <c r="P47" s="30">
        <v>7.36</v>
      </c>
      <c r="Q47" s="30">
        <v>21.2</v>
      </c>
      <c r="R47" s="30">
        <v>46.7</v>
      </c>
      <c r="S47" s="30">
        <v>10.6</v>
      </c>
      <c r="T47" s="30">
        <v>26.3</v>
      </c>
      <c r="U47" s="30">
        <v>16.399999999999999</v>
      </c>
      <c r="V47" s="30">
        <v>54.8</v>
      </c>
      <c r="W47" s="30">
        <v>3.58</v>
      </c>
      <c r="X47" s="30">
        <v>24.7</v>
      </c>
      <c r="Y47" s="30">
        <v>10.1</v>
      </c>
      <c r="Z47" s="30">
        <v>43.7</v>
      </c>
      <c r="AA47" s="30">
        <v>21.4</v>
      </c>
      <c r="AB47" s="30">
        <v>35.299999999999997</v>
      </c>
      <c r="AC47" s="30">
        <v>4.34</v>
      </c>
      <c r="AD47" s="30">
        <v>10</v>
      </c>
      <c r="AE47" s="30">
        <v>22.4</v>
      </c>
      <c r="AF47" s="30">
        <v>57.9</v>
      </c>
      <c r="AG47" s="30">
        <v>17.8</v>
      </c>
      <c r="AH47" s="30">
        <v>4.59</v>
      </c>
      <c r="AI47" s="30">
        <v>2.74</v>
      </c>
      <c r="AJ47" s="30">
        <v>77.400000000000006</v>
      </c>
      <c r="AK47" s="30">
        <v>14.6</v>
      </c>
      <c r="AL47" s="30">
        <v>33.5</v>
      </c>
      <c r="AM47" s="30">
        <v>33.1</v>
      </c>
      <c r="AN47" s="30">
        <v>0.53</v>
      </c>
      <c r="AO47" s="30">
        <v>0.67</v>
      </c>
      <c r="AP47" s="30">
        <v>0.76</v>
      </c>
      <c r="AQ47" s="30">
        <v>0.11</v>
      </c>
      <c r="AR47" s="30">
        <v>86.6</v>
      </c>
      <c r="AS47" s="30">
        <v>12.2</v>
      </c>
      <c r="AT47" s="30">
        <v>1.17</v>
      </c>
      <c r="AU47" s="30">
        <v>77.599999999999994</v>
      </c>
      <c r="AV47" s="30">
        <v>22.1</v>
      </c>
      <c r="AW47" s="30">
        <v>14.8</v>
      </c>
      <c r="AX47" s="30">
        <v>3.74</v>
      </c>
      <c r="AY47" s="30">
        <v>77.900000000000006</v>
      </c>
      <c r="AZ47" s="30">
        <v>0.96</v>
      </c>
      <c r="BA47" s="30">
        <v>46.6</v>
      </c>
      <c r="BB47" s="30">
        <v>84.7</v>
      </c>
      <c r="BC47" s="30">
        <v>75.599999999999994</v>
      </c>
      <c r="BD47" s="30">
        <v>1.35</v>
      </c>
      <c r="BE47" s="30">
        <v>13</v>
      </c>
      <c r="BF47" s="30">
        <v>42.7</v>
      </c>
      <c r="BG47" s="30">
        <v>91.2</v>
      </c>
      <c r="BH47" s="30">
        <v>847</v>
      </c>
      <c r="BI47" s="30">
        <v>747</v>
      </c>
      <c r="BJ47" s="30">
        <v>908</v>
      </c>
      <c r="BK47" s="30">
        <v>1101</v>
      </c>
      <c r="BL47" s="30">
        <v>487</v>
      </c>
      <c r="BM47" s="30">
        <v>54.7</v>
      </c>
    </row>
    <row r="48" spans="1:65" x14ac:dyDescent="0.5">
      <c r="A48" s="44">
        <v>146</v>
      </c>
      <c r="B48" s="30">
        <v>4.46</v>
      </c>
      <c r="C48" s="30">
        <v>5.0999999999999996</v>
      </c>
      <c r="D48" s="30">
        <v>1.33</v>
      </c>
      <c r="E48" s="30">
        <v>46.1</v>
      </c>
      <c r="F48" s="30">
        <v>47.3</v>
      </c>
      <c r="G48" s="30">
        <v>85.6</v>
      </c>
      <c r="H48" s="30">
        <v>2.8000000000000001E-2</v>
      </c>
      <c r="I48" s="30">
        <v>1.37</v>
      </c>
      <c r="J48" s="30">
        <v>0.68</v>
      </c>
      <c r="K48" s="30">
        <v>83.6</v>
      </c>
      <c r="L48" s="30">
        <v>34.299999999999997</v>
      </c>
      <c r="M48" s="30">
        <v>3.38</v>
      </c>
      <c r="N48" s="30">
        <v>3.23</v>
      </c>
      <c r="O48" s="30">
        <v>17.8</v>
      </c>
      <c r="P48" s="30">
        <v>73.8</v>
      </c>
      <c r="Q48" s="30">
        <v>87.1</v>
      </c>
      <c r="R48" s="30">
        <v>52.5</v>
      </c>
      <c r="S48" s="30">
        <v>6.07</v>
      </c>
      <c r="T48" s="30">
        <v>16.7</v>
      </c>
      <c r="U48" s="30">
        <v>24.8</v>
      </c>
      <c r="V48" s="30">
        <v>2.9</v>
      </c>
      <c r="W48" s="30">
        <v>6.02</v>
      </c>
      <c r="X48" s="30">
        <v>46.8</v>
      </c>
      <c r="Y48" s="30">
        <v>6.85</v>
      </c>
      <c r="Z48" s="30">
        <v>25</v>
      </c>
      <c r="AA48" s="30">
        <v>21.3</v>
      </c>
      <c r="AB48" s="30">
        <v>48.7</v>
      </c>
      <c r="AC48" s="30">
        <v>1.4</v>
      </c>
      <c r="AD48" s="30">
        <v>28.5</v>
      </c>
      <c r="AE48" s="30">
        <v>68.099999999999994</v>
      </c>
      <c r="AF48" s="30">
        <v>1.1599999999999999</v>
      </c>
      <c r="AG48" s="30">
        <v>2.89</v>
      </c>
      <c r="AH48" s="30">
        <v>36.200000000000003</v>
      </c>
      <c r="AI48" s="30">
        <v>13.3</v>
      </c>
      <c r="AJ48" s="30">
        <v>16.100000000000001</v>
      </c>
      <c r="AK48" s="30">
        <v>28.6</v>
      </c>
      <c r="AL48" s="30">
        <v>19</v>
      </c>
      <c r="AM48" s="30">
        <v>22.4</v>
      </c>
      <c r="AN48" s="30">
        <v>6.28</v>
      </c>
      <c r="AO48" s="30">
        <v>8.01</v>
      </c>
      <c r="AP48" s="30">
        <v>0.86</v>
      </c>
      <c r="AQ48" s="30">
        <v>0.84</v>
      </c>
      <c r="AR48" s="30">
        <v>51.9</v>
      </c>
      <c r="AS48" s="30">
        <v>23.9</v>
      </c>
      <c r="AT48" s="30">
        <v>23.7</v>
      </c>
      <c r="AU48" s="30">
        <v>71.400000000000006</v>
      </c>
      <c r="AV48" s="30">
        <v>27.2</v>
      </c>
      <c r="AW48" s="30">
        <v>1.57</v>
      </c>
      <c r="AX48" s="30">
        <v>4.33</v>
      </c>
      <c r="AY48" s="30">
        <v>91</v>
      </c>
      <c r="AZ48" s="30">
        <v>10.8</v>
      </c>
      <c r="BA48" s="30">
        <v>24.8</v>
      </c>
      <c r="BB48" s="30">
        <v>76.5</v>
      </c>
      <c r="BC48" s="30">
        <v>73.900000000000006</v>
      </c>
      <c r="BD48" s="30">
        <v>3.84</v>
      </c>
      <c r="BE48" s="30">
        <v>8.2200000000000006</v>
      </c>
      <c r="BF48" s="30">
        <v>81.099999999999994</v>
      </c>
      <c r="BG48" s="30">
        <v>99</v>
      </c>
      <c r="BH48" s="30">
        <v>736</v>
      </c>
      <c r="BI48" s="30">
        <v>488</v>
      </c>
      <c r="BJ48" s="30">
        <v>339</v>
      </c>
      <c r="BK48" s="30">
        <v>259</v>
      </c>
      <c r="BL48" s="30">
        <v>150</v>
      </c>
      <c r="BM48" s="30">
        <v>-4.5199999999999996</v>
      </c>
    </row>
    <row r="49" spans="1:65" x14ac:dyDescent="0.5">
      <c r="A49" s="44">
        <v>147</v>
      </c>
      <c r="B49" s="30">
        <v>9.5399999999999991</v>
      </c>
      <c r="C49" s="30">
        <v>10.199999999999999</v>
      </c>
      <c r="D49" s="30">
        <v>0.14000000000000001</v>
      </c>
      <c r="E49" s="30">
        <v>54.2</v>
      </c>
      <c r="F49" s="30">
        <v>35.5</v>
      </c>
      <c r="G49" s="30">
        <v>83</v>
      </c>
      <c r="H49" s="30">
        <v>0.1</v>
      </c>
      <c r="I49" s="30">
        <v>3.47</v>
      </c>
      <c r="J49" s="30">
        <v>0.17</v>
      </c>
      <c r="K49" s="30">
        <v>79.5</v>
      </c>
      <c r="L49" s="30">
        <v>56</v>
      </c>
      <c r="M49" s="30">
        <v>6.39</v>
      </c>
      <c r="N49" s="30">
        <v>45.3</v>
      </c>
      <c r="O49" s="30">
        <v>43</v>
      </c>
      <c r="P49" s="30">
        <v>3.52</v>
      </c>
      <c r="Q49" s="30">
        <v>41</v>
      </c>
      <c r="R49" s="30">
        <v>80.7</v>
      </c>
      <c r="S49" s="30">
        <v>0.75</v>
      </c>
      <c r="T49" s="30">
        <v>9.1300000000000008</v>
      </c>
      <c r="U49" s="30">
        <v>9.4600000000000009</v>
      </c>
      <c r="V49" s="30">
        <v>46.6</v>
      </c>
      <c r="W49" s="30">
        <v>6.07</v>
      </c>
      <c r="X49" s="30">
        <v>83.1</v>
      </c>
      <c r="Y49" s="30">
        <v>0.3</v>
      </c>
      <c r="Z49" s="30">
        <v>14.3</v>
      </c>
      <c r="AA49" s="30">
        <v>2.2599999999999998</v>
      </c>
      <c r="AB49" s="30">
        <v>19.399999999999999</v>
      </c>
      <c r="AC49" s="30">
        <v>18.899999999999999</v>
      </c>
      <c r="AD49" s="30">
        <v>6.35</v>
      </c>
      <c r="AE49" s="30">
        <v>36</v>
      </c>
      <c r="AF49" s="30">
        <v>38.6</v>
      </c>
      <c r="AG49" s="30">
        <v>2.4900000000000002</v>
      </c>
      <c r="AH49" s="30">
        <v>0.56000000000000005</v>
      </c>
      <c r="AI49" s="30">
        <v>1.01</v>
      </c>
      <c r="AJ49" s="30">
        <v>94.9</v>
      </c>
      <c r="AK49" s="30">
        <v>3.29</v>
      </c>
      <c r="AL49" s="30">
        <v>13.3</v>
      </c>
      <c r="AM49" s="30">
        <v>3.81</v>
      </c>
      <c r="AN49" s="30">
        <v>3.17</v>
      </c>
      <c r="AO49" s="30">
        <v>5.0999999999999997E-2</v>
      </c>
      <c r="AP49" s="30">
        <v>18.2</v>
      </c>
      <c r="AQ49" s="30">
        <v>1.18</v>
      </c>
      <c r="AR49" s="30">
        <v>56.5</v>
      </c>
      <c r="AS49" s="30">
        <v>43.3</v>
      </c>
      <c r="AT49" s="30">
        <v>0.16</v>
      </c>
      <c r="AU49" s="30">
        <v>74.400000000000006</v>
      </c>
      <c r="AV49" s="30">
        <v>22.6</v>
      </c>
      <c r="AW49" s="30">
        <v>68.599999999999994</v>
      </c>
      <c r="AX49" s="30">
        <v>0.95</v>
      </c>
      <c r="AY49" s="30">
        <v>6.67</v>
      </c>
      <c r="AZ49" s="30">
        <v>11.4</v>
      </c>
      <c r="BA49" s="30">
        <v>20.100000000000001</v>
      </c>
      <c r="BB49" s="30">
        <v>45.4</v>
      </c>
      <c r="BC49" s="30">
        <v>86.6</v>
      </c>
      <c r="BD49" s="30">
        <v>2.7</v>
      </c>
      <c r="BE49" s="30">
        <v>16.5</v>
      </c>
      <c r="BF49" s="30">
        <v>19.3</v>
      </c>
      <c r="BG49" s="30">
        <v>-14.9</v>
      </c>
      <c r="BH49" s="30">
        <v>296</v>
      </c>
      <c r="BI49" s="30">
        <v>211</v>
      </c>
      <c r="BJ49" s="30">
        <v>138</v>
      </c>
      <c r="BK49" s="30">
        <v>564</v>
      </c>
      <c r="BL49" s="30">
        <v>210</v>
      </c>
      <c r="BM49" s="30">
        <v>52.5</v>
      </c>
    </row>
    <row r="50" spans="1:65" x14ac:dyDescent="0.5">
      <c r="A50" s="44">
        <v>148</v>
      </c>
      <c r="B50" s="30">
        <v>4.67</v>
      </c>
      <c r="C50" s="30">
        <v>10.8</v>
      </c>
      <c r="D50" s="30">
        <v>0.26</v>
      </c>
      <c r="E50" s="30">
        <v>57.1</v>
      </c>
      <c r="F50" s="30">
        <v>31.3</v>
      </c>
      <c r="G50" s="30">
        <v>70</v>
      </c>
      <c r="H50" s="30">
        <v>1.4999999999999999E-2</v>
      </c>
      <c r="I50" s="30">
        <v>0.27</v>
      </c>
      <c r="J50" s="30">
        <v>4.47</v>
      </c>
      <c r="K50" s="30">
        <v>65.3</v>
      </c>
      <c r="L50" s="30">
        <v>45.1</v>
      </c>
      <c r="M50" s="30">
        <v>6.27</v>
      </c>
      <c r="N50" s="30">
        <v>51.5</v>
      </c>
      <c r="O50" s="30">
        <v>23.3</v>
      </c>
      <c r="P50" s="30">
        <v>12.8</v>
      </c>
      <c r="Q50" s="30">
        <v>36.1</v>
      </c>
      <c r="R50" s="30">
        <v>69.8</v>
      </c>
      <c r="S50" s="30">
        <v>2.62</v>
      </c>
      <c r="T50" s="30">
        <v>13.4</v>
      </c>
      <c r="U50" s="30">
        <v>14.2</v>
      </c>
      <c r="V50" s="30">
        <v>50.1</v>
      </c>
      <c r="W50" s="30">
        <v>4.4400000000000004</v>
      </c>
      <c r="X50" s="30">
        <v>40.9</v>
      </c>
      <c r="Y50" s="30">
        <v>4.4000000000000004</v>
      </c>
      <c r="Z50" s="30">
        <v>45</v>
      </c>
      <c r="AA50" s="30">
        <v>9.69</v>
      </c>
      <c r="AB50" s="30">
        <v>19.100000000000001</v>
      </c>
      <c r="AC50" s="30">
        <v>4.04</v>
      </c>
      <c r="AD50" s="30">
        <v>12.9</v>
      </c>
      <c r="AE50" s="30">
        <v>59.8</v>
      </c>
      <c r="AF50" s="30">
        <v>19.2</v>
      </c>
      <c r="AG50" s="30">
        <v>20.7</v>
      </c>
      <c r="AH50" s="30">
        <v>8.4700000000000006</v>
      </c>
      <c r="AI50" s="30">
        <v>6.58</v>
      </c>
      <c r="AJ50" s="30">
        <v>81.900000000000006</v>
      </c>
      <c r="AK50" s="30">
        <v>2.27</v>
      </c>
      <c r="AL50" s="30">
        <v>12.3</v>
      </c>
      <c r="AM50" s="30">
        <v>45.6</v>
      </c>
      <c r="AN50" s="30">
        <v>0.4</v>
      </c>
      <c r="AO50" s="30">
        <v>4.3099999999999996</v>
      </c>
      <c r="AP50" s="30">
        <v>1.0900000000000001</v>
      </c>
      <c r="AQ50" s="30">
        <v>7.27</v>
      </c>
      <c r="AR50" s="30">
        <v>87.7</v>
      </c>
      <c r="AS50" s="30">
        <v>7.38</v>
      </c>
      <c r="AT50" s="30">
        <v>3.32</v>
      </c>
      <c r="AU50" s="30">
        <v>85.3</v>
      </c>
      <c r="AV50" s="30">
        <v>5.46</v>
      </c>
      <c r="AW50" s="30">
        <v>26.4</v>
      </c>
      <c r="AX50" s="30">
        <v>11.2</v>
      </c>
      <c r="AY50" s="30">
        <v>60.2</v>
      </c>
      <c r="AZ50" s="30">
        <v>2.39</v>
      </c>
      <c r="BA50" s="30">
        <v>16.5</v>
      </c>
      <c r="BB50" s="30">
        <v>79.8</v>
      </c>
      <c r="BC50" s="30">
        <v>88.6</v>
      </c>
      <c r="BD50" s="30">
        <v>1.19</v>
      </c>
      <c r="BE50" s="30">
        <v>4.72</v>
      </c>
      <c r="BF50" s="30">
        <v>39.9</v>
      </c>
      <c r="BG50" s="30">
        <v>20</v>
      </c>
      <c r="BH50" s="30">
        <v>540</v>
      </c>
      <c r="BI50" s="30">
        <v>551</v>
      </c>
      <c r="BJ50" s="30">
        <v>409</v>
      </c>
      <c r="BK50" s="30">
        <v>280</v>
      </c>
      <c r="BL50" s="30">
        <v>19.7</v>
      </c>
      <c r="BM50" s="30">
        <v>34.700000000000003</v>
      </c>
    </row>
    <row r="51" spans="1:65" x14ac:dyDescent="0.5">
      <c r="A51" s="44">
        <v>149</v>
      </c>
      <c r="B51" s="30">
        <v>3.44</v>
      </c>
      <c r="C51" s="30">
        <v>10.5</v>
      </c>
      <c r="D51" s="30">
        <v>6.8000000000000005E-2</v>
      </c>
      <c r="E51" s="30">
        <v>46.7</v>
      </c>
      <c r="F51" s="30">
        <v>43</v>
      </c>
      <c r="G51" s="30">
        <v>45</v>
      </c>
      <c r="H51" s="30">
        <v>2.8000000000000001E-2</v>
      </c>
      <c r="I51" s="30">
        <v>0.62</v>
      </c>
      <c r="J51" s="30">
        <v>3.6</v>
      </c>
      <c r="K51" s="30">
        <v>41</v>
      </c>
      <c r="L51" s="30">
        <v>18.899999999999999</v>
      </c>
      <c r="M51" s="30">
        <v>6.47</v>
      </c>
      <c r="N51" s="30">
        <v>43</v>
      </c>
      <c r="O51" s="30">
        <v>22.1</v>
      </c>
      <c r="P51" s="30">
        <v>24.1</v>
      </c>
      <c r="Q51" s="30">
        <v>36.6</v>
      </c>
      <c r="R51" s="30">
        <v>49.1</v>
      </c>
      <c r="S51" s="30">
        <v>6.97</v>
      </c>
      <c r="T51" s="30">
        <v>21.7</v>
      </c>
      <c r="U51" s="30">
        <v>22.3</v>
      </c>
      <c r="V51" s="30">
        <v>40.6</v>
      </c>
      <c r="W51" s="30">
        <v>11.3</v>
      </c>
      <c r="X51" s="30">
        <v>26.3</v>
      </c>
      <c r="Y51" s="30">
        <v>10.8</v>
      </c>
      <c r="Z51" s="30">
        <v>40.9</v>
      </c>
      <c r="AA51" s="30">
        <v>22</v>
      </c>
      <c r="AB51" s="30">
        <v>21.3</v>
      </c>
      <c r="AC51" s="30">
        <v>2.39</v>
      </c>
      <c r="AD51" s="30">
        <v>13.7</v>
      </c>
      <c r="AE51" s="30">
        <v>68.099999999999994</v>
      </c>
      <c r="AF51" s="30">
        <v>13.1</v>
      </c>
      <c r="AG51" s="30">
        <v>17.5</v>
      </c>
      <c r="AH51" s="30">
        <v>7.05</v>
      </c>
      <c r="AI51" s="30">
        <v>12.7</v>
      </c>
      <c r="AJ51" s="30">
        <v>68</v>
      </c>
      <c r="AK51" s="30">
        <v>10.3</v>
      </c>
      <c r="AL51" s="30">
        <v>17.600000000000001</v>
      </c>
      <c r="AM51" s="30">
        <v>37.700000000000003</v>
      </c>
      <c r="AN51" s="30">
        <v>0.34</v>
      </c>
      <c r="AO51" s="30">
        <v>3.18</v>
      </c>
      <c r="AP51" s="30">
        <v>0.56999999999999995</v>
      </c>
      <c r="AQ51" s="30">
        <v>1.97</v>
      </c>
      <c r="AR51" s="30">
        <v>82.4</v>
      </c>
      <c r="AS51" s="30">
        <v>13.3</v>
      </c>
      <c r="AT51" s="30">
        <v>1.93</v>
      </c>
      <c r="AU51" s="30">
        <v>91.7</v>
      </c>
      <c r="AV51" s="30">
        <v>4.68</v>
      </c>
      <c r="AW51" s="30">
        <v>28.7</v>
      </c>
      <c r="AX51" s="30">
        <v>10.6</v>
      </c>
      <c r="AY51" s="30">
        <v>54.1</v>
      </c>
      <c r="AZ51" s="30">
        <v>4.83</v>
      </c>
      <c r="BA51" s="30">
        <v>15.4</v>
      </c>
      <c r="BB51" s="30">
        <v>65.5</v>
      </c>
      <c r="BC51" s="30">
        <v>76.900000000000006</v>
      </c>
      <c r="BD51" s="30">
        <v>2.99</v>
      </c>
      <c r="BE51" s="30">
        <v>4.3499999999999996</v>
      </c>
      <c r="BF51" s="30">
        <v>14.3</v>
      </c>
      <c r="BG51" s="30">
        <v>-35.4</v>
      </c>
      <c r="BH51" s="30">
        <v>296</v>
      </c>
      <c r="BI51" s="30">
        <v>303</v>
      </c>
      <c r="BJ51" s="30">
        <v>377</v>
      </c>
      <c r="BK51" s="30">
        <v>285</v>
      </c>
      <c r="BL51" s="30">
        <v>111</v>
      </c>
      <c r="BM51" s="30">
        <v>7.76</v>
      </c>
    </row>
    <row r="52" spans="1:65" x14ac:dyDescent="0.5">
      <c r="A52" s="44">
        <v>150</v>
      </c>
      <c r="B52" s="30">
        <v>8.83</v>
      </c>
      <c r="C52" s="30">
        <v>14.1</v>
      </c>
      <c r="D52" s="30">
        <v>0.19</v>
      </c>
      <c r="E52" s="30">
        <v>43.9</v>
      </c>
      <c r="F52" s="30">
        <v>41.4</v>
      </c>
      <c r="G52" s="30">
        <v>83.6</v>
      </c>
      <c r="H52" s="30">
        <v>1.4999999999999999E-2</v>
      </c>
      <c r="I52" s="30">
        <v>0.44</v>
      </c>
      <c r="J52" s="30">
        <v>16.100000000000001</v>
      </c>
      <c r="K52" s="30">
        <v>67</v>
      </c>
      <c r="L52" s="30">
        <v>37.200000000000003</v>
      </c>
      <c r="M52" s="30">
        <v>12.8</v>
      </c>
      <c r="N52" s="30">
        <v>53.5</v>
      </c>
      <c r="O52" s="30">
        <v>17.600000000000001</v>
      </c>
      <c r="P52" s="30">
        <v>3.65</v>
      </c>
      <c r="Q52" s="30">
        <v>26.5</v>
      </c>
      <c r="R52" s="30">
        <v>48.1</v>
      </c>
      <c r="S52" s="30">
        <v>6.37</v>
      </c>
      <c r="T52" s="30">
        <v>32.200000000000003</v>
      </c>
      <c r="U52" s="30">
        <v>13.3</v>
      </c>
      <c r="V52" s="30">
        <v>36.4</v>
      </c>
      <c r="W52" s="30">
        <v>3.61</v>
      </c>
      <c r="X52" s="30">
        <v>51.3</v>
      </c>
      <c r="Y52" s="30">
        <v>4.47</v>
      </c>
      <c r="Z52" s="30">
        <v>29.1</v>
      </c>
      <c r="AA52" s="30">
        <v>15.2</v>
      </c>
      <c r="AB52" s="30">
        <v>28.8</v>
      </c>
      <c r="AC52" s="30">
        <v>2.33</v>
      </c>
      <c r="AD52" s="30">
        <v>2.12</v>
      </c>
      <c r="AE52" s="30">
        <v>55.1</v>
      </c>
      <c r="AF52" s="30">
        <v>37.6</v>
      </c>
      <c r="AG52" s="30">
        <v>2.57</v>
      </c>
      <c r="AH52" s="30">
        <v>9.0299999999999994</v>
      </c>
      <c r="AI52" s="30">
        <v>46.1</v>
      </c>
      <c r="AJ52" s="30">
        <v>42.1</v>
      </c>
      <c r="AK52" s="30">
        <v>1.06</v>
      </c>
      <c r="AL52" s="30">
        <v>19.2</v>
      </c>
      <c r="AM52" s="30">
        <v>49.4</v>
      </c>
      <c r="AN52" s="30">
        <v>1.55</v>
      </c>
      <c r="AO52" s="30">
        <v>17.3</v>
      </c>
      <c r="AP52" s="30">
        <v>2.41</v>
      </c>
      <c r="AQ52" s="30">
        <v>4.82</v>
      </c>
      <c r="AR52" s="30">
        <v>73</v>
      </c>
      <c r="AS52" s="30">
        <v>5.04</v>
      </c>
      <c r="AT52" s="30">
        <v>19.399999999999999</v>
      </c>
      <c r="AU52" s="30">
        <v>72.3</v>
      </c>
      <c r="AV52" s="30">
        <v>19.3</v>
      </c>
      <c r="AW52" s="30">
        <v>6.09</v>
      </c>
      <c r="AX52" s="30">
        <v>9.89</v>
      </c>
      <c r="AY52" s="30">
        <v>82.4</v>
      </c>
      <c r="AZ52" s="30">
        <v>2.34</v>
      </c>
      <c r="BA52" s="30">
        <v>25.3</v>
      </c>
      <c r="BB52" s="30">
        <v>57.8</v>
      </c>
      <c r="BC52" s="30">
        <v>81.3</v>
      </c>
      <c r="BD52" s="30">
        <v>2</v>
      </c>
      <c r="BE52" s="30">
        <v>4.4000000000000004</v>
      </c>
      <c r="BF52" s="30">
        <v>19.399999999999999</v>
      </c>
      <c r="BG52" s="30">
        <v>265</v>
      </c>
      <c r="BH52" s="30">
        <v>1211</v>
      </c>
      <c r="BI52" s="30">
        <v>453</v>
      </c>
      <c r="BJ52" s="30">
        <v>658</v>
      </c>
      <c r="BK52" s="30">
        <v>1159</v>
      </c>
      <c r="BL52" s="30">
        <v>193</v>
      </c>
      <c r="BM52" s="30">
        <v>54.6</v>
      </c>
    </row>
    <row r="53" spans="1:65" x14ac:dyDescent="0.5">
      <c r="A53" s="44">
        <v>151</v>
      </c>
      <c r="B53" s="30">
        <v>5.29</v>
      </c>
      <c r="C53" s="30">
        <v>13.6</v>
      </c>
      <c r="D53" s="30">
        <v>0.56000000000000005</v>
      </c>
      <c r="E53" s="30">
        <v>43.3</v>
      </c>
      <c r="F53" s="30">
        <v>42.2</v>
      </c>
      <c r="G53" s="30">
        <v>59.5</v>
      </c>
      <c r="H53" s="30">
        <v>2.8000000000000001E-2</v>
      </c>
      <c r="I53" s="30">
        <v>0.52</v>
      </c>
      <c r="J53" s="30">
        <v>1.89</v>
      </c>
      <c r="K53" s="30">
        <v>57.1</v>
      </c>
      <c r="L53" s="30">
        <v>29.8</v>
      </c>
      <c r="M53" s="30">
        <v>9.69</v>
      </c>
      <c r="N53" s="30">
        <v>38.200000000000003</v>
      </c>
      <c r="O53" s="30">
        <v>26.3</v>
      </c>
      <c r="P53" s="30">
        <v>20.8</v>
      </c>
      <c r="Q53" s="30">
        <v>45.2</v>
      </c>
      <c r="R53" s="30">
        <v>53.2</v>
      </c>
      <c r="S53" s="30">
        <v>7.78</v>
      </c>
      <c r="T53" s="30">
        <v>21.8</v>
      </c>
      <c r="U53" s="30">
        <v>17.3</v>
      </c>
      <c r="V53" s="30">
        <v>38.299999999999997</v>
      </c>
      <c r="W53" s="30">
        <v>6.18</v>
      </c>
      <c r="X53" s="30">
        <v>23.4</v>
      </c>
      <c r="Y53" s="30">
        <v>15.6</v>
      </c>
      <c r="Z53" s="30">
        <v>35.299999999999997</v>
      </c>
      <c r="AA53" s="30">
        <v>25.7</v>
      </c>
      <c r="AB53" s="30">
        <v>25.9</v>
      </c>
      <c r="AC53" s="30">
        <v>4.5599999999999996</v>
      </c>
      <c r="AD53" s="30">
        <v>30.9</v>
      </c>
      <c r="AE53" s="30">
        <v>45.2</v>
      </c>
      <c r="AF53" s="30">
        <v>15.6</v>
      </c>
      <c r="AG53" s="30">
        <v>19.600000000000001</v>
      </c>
      <c r="AH53" s="30">
        <v>3.2</v>
      </c>
      <c r="AI53" s="30">
        <v>5.69</v>
      </c>
      <c r="AJ53" s="30">
        <v>71</v>
      </c>
      <c r="AK53" s="30">
        <v>18.899999999999999</v>
      </c>
      <c r="AL53" s="30">
        <v>0.19</v>
      </c>
      <c r="AM53" s="30">
        <v>51.9</v>
      </c>
      <c r="AN53" s="30">
        <v>0.13</v>
      </c>
      <c r="AO53" s="30">
        <v>1.5</v>
      </c>
      <c r="AP53" s="30">
        <v>0.3</v>
      </c>
      <c r="AQ53" s="30">
        <v>0.45</v>
      </c>
      <c r="AR53" s="30">
        <v>69.099999999999994</v>
      </c>
      <c r="AS53" s="30">
        <v>28.8</v>
      </c>
      <c r="AT53" s="30">
        <v>0.11</v>
      </c>
      <c r="AU53" s="30">
        <v>71.3</v>
      </c>
      <c r="AV53" s="30">
        <v>27.5</v>
      </c>
      <c r="AW53" s="30">
        <v>24.4</v>
      </c>
      <c r="AX53" s="30">
        <v>3.85</v>
      </c>
      <c r="AY53" s="30">
        <v>62.7</v>
      </c>
      <c r="AZ53" s="30">
        <v>6.59</v>
      </c>
      <c r="BA53" s="30">
        <v>12.1</v>
      </c>
      <c r="BB53" s="30">
        <v>51</v>
      </c>
      <c r="BC53" s="30">
        <v>50.7</v>
      </c>
      <c r="BD53" s="30">
        <v>2.0699999999999998</v>
      </c>
      <c r="BE53" s="30">
        <v>9</v>
      </c>
      <c r="BF53" s="30">
        <v>14.7</v>
      </c>
      <c r="BG53" s="30">
        <v>-42.4</v>
      </c>
      <c r="BH53" s="30">
        <v>183</v>
      </c>
      <c r="BI53" s="30">
        <v>250</v>
      </c>
      <c r="BJ53" s="30">
        <v>182</v>
      </c>
      <c r="BK53" s="30">
        <v>151</v>
      </c>
      <c r="BL53" s="30">
        <v>101</v>
      </c>
      <c r="BM53" s="30">
        <v>17.600000000000001</v>
      </c>
    </row>
    <row r="54" spans="1:65" x14ac:dyDescent="0.5">
      <c r="A54" s="44">
        <v>152</v>
      </c>
      <c r="B54" s="29">
        <v>2.74</v>
      </c>
      <c r="C54" s="29">
        <v>19.399999999999999</v>
      </c>
      <c r="D54" s="29">
        <v>3.4000000000000002E-2</v>
      </c>
      <c r="E54" s="29">
        <v>34.6</v>
      </c>
      <c r="F54" s="29">
        <v>45.9</v>
      </c>
      <c r="G54" s="29">
        <v>94</v>
      </c>
      <c r="H54" s="29">
        <v>4.8000000000000001E-2</v>
      </c>
      <c r="I54" s="29">
        <v>0.41</v>
      </c>
      <c r="J54" s="29">
        <v>2.5499999999999998</v>
      </c>
      <c r="K54" s="29">
        <v>90.9</v>
      </c>
      <c r="L54" s="29">
        <v>32.6</v>
      </c>
      <c r="M54" s="29">
        <v>2.88</v>
      </c>
      <c r="N54" s="29">
        <v>59.2</v>
      </c>
      <c r="O54" s="29">
        <v>27.2</v>
      </c>
      <c r="P54" s="29">
        <v>10.6</v>
      </c>
      <c r="Q54" s="29">
        <v>35.9</v>
      </c>
      <c r="R54" s="29">
        <v>93.6</v>
      </c>
      <c r="S54" s="29">
        <v>8.7999999999999995E-2</v>
      </c>
      <c r="T54" s="29">
        <v>13.1</v>
      </c>
      <c r="U54" s="29">
        <v>1.33</v>
      </c>
      <c r="V54" s="29">
        <v>56.5</v>
      </c>
      <c r="W54" s="29">
        <v>1.46</v>
      </c>
      <c r="X54" s="29">
        <v>84.3</v>
      </c>
      <c r="Y54" s="29">
        <v>0.28999999999999998</v>
      </c>
      <c r="Z54" s="29">
        <v>13.6</v>
      </c>
      <c r="AA54" s="29">
        <v>1.76</v>
      </c>
      <c r="AB54" s="29">
        <v>55.3</v>
      </c>
      <c r="AC54" s="29">
        <v>2.77</v>
      </c>
      <c r="AD54" s="29">
        <v>22.9</v>
      </c>
      <c r="AE54" s="29">
        <v>49.6</v>
      </c>
      <c r="AF54" s="29">
        <v>24.5</v>
      </c>
      <c r="AG54" s="29">
        <v>4.9000000000000002E-2</v>
      </c>
      <c r="AH54" s="29">
        <v>1.89</v>
      </c>
      <c r="AI54" s="29">
        <v>24.5</v>
      </c>
      <c r="AJ54" s="29">
        <v>70.8</v>
      </c>
      <c r="AK54" s="29">
        <v>0.94</v>
      </c>
      <c r="AL54" s="29">
        <v>23.1</v>
      </c>
      <c r="AM54" s="29">
        <v>23.1</v>
      </c>
      <c r="AN54" s="29">
        <v>10.7</v>
      </c>
      <c r="AO54" s="29">
        <v>5.33</v>
      </c>
      <c r="AP54" s="29">
        <v>0</v>
      </c>
      <c r="AQ54" s="29">
        <v>100</v>
      </c>
      <c r="AR54" s="29">
        <v>76</v>
      </c>
      <c r="AS54" s="29">
        <v>2.67</v>
      </c>
      <c r="AT54" s="29">
        <v>14.7</v>
      </c>
      <c r="AU54" s="29">
        <v>100</v>
      </c>
      <c r="AV54" s="29">
        <v>0</v>
      </c>
      <c r="AW54" s="29">
        <v>26.9</v>
      </c>
      <c r="AX54" s="29">
        <v>19.2</v>
      </c>
      <c r="AY54" s="29">
        <v>50</v>
      </c>
      <c r="AZ54" s="29">
        <v>8.43</v>
      </c>
      <c r="BA54" s="29">
        <v>41.2</v>
      </c>
      <c r="BB54" s="29">
        <v>87.1</v>
      </c>
      <c r="BC54" s="29">
        <v>85.1</v>
      </c>
      <c r="BD54" s="29">
        <v>0.18</v>
      </c>
      <c r="BE54" s="29">
        <v>3.74</v>
      </c>
      <c r="BF54" s="29">
        <v>29.8</v>
      </c>
      <c r="BG54" s="29">
        <v>-3.33</v>
      </c>
      <c r="BH54" s="29">
        <v>971</v>
      </c>
      <c r="BI54" s="29">
        <v>379</v>
      </c>
      <c r="BJ54" s="29">
        <v>748</v>
      </c>
      <c r="BK54" s="29">
        <v>787</v>
      </c>
      <c r="BL54" s="29">
        <v>284</v>
      </c>
      <c r="BM54" s="29">
        <v>181</v>
      </c>
    </row>
    <row r="55" spans="1:65" x14ac:dyDescent="0.5">
      <c r="A55" s="44">
        <v>153</v>
      </c>
      <c r="B55" s="29">
        <v>11.9</v>
      </c>
      <c r="C55" s="29">
        <v>3.1</v>
      </c>
      <c r="D55" s="29">
        <v>0.16</v>
      </c>
      <c r="E55" s="29">
        <v>31.1</v>
      </c>
      <c r="F55" s="29">
        <v>65.7</v>
      </c>
      <c r="G55" s="29">
        <v>73</v>
      </c>
      <c r="H55" s="29">
        <v>1.4E-2</v>
      </c>
      <c r="I55" s="29">
        <v>3.71</v>
      </c>
      <c r="J55" s="29">
        <v>6.68</v>
      </c>
      <c r="K55" s="29">
        <v>63.5</v>
      </c>
      <c r="L55" s="29">
        <v>26.1</v>
      </c>
      <c r="M55" s="29">
        <v>7.71</v>
      </c>
      <c r="N55" s="29">
        <v>56.2</v>
      </c>
      <c r="O55" s="29">
        <v>18.899999999999999</v>
      </c>
      <c r="P55" s="29">
        <v>15.9</v>
      </c>
      <c r="Q55" s="29">
        <v>30.7</v>
      </c>
      <c r="R55" s="29">
        <v>81.3</v>
      </c>
      <c r="S55" s="29">
        <v>1.28</v>
      </c>
      <c r="T55" s="29">
        <v>4.99</v>
      </c>
      <c r="U55" s="29">
        <v>5.38</v>
      </c>
      <c r="V55" s="29">
        <v>52.3</v>
      </c>
      <c r="W55" s="29">
        <v>3.62</v>
      </c>
      <c r="X55" s="29">
        <v>58</v>
      </c>
      <c r="Y55" s="29">
        <v>1.05</v>
      </c>
      <c r="Z55" s="29">
        <v>36.9</v>
      </c>
      <c r="AA55" s="29">
        <v>4.05</v>
      </c>
      <c r="AB55" s="29">
        <v>34.4</v>
      </c>
      <c r="AC55" s="29">
        <v>1.57</v>
      </c>
      <c r="AD55" s="29">
        <v>7.38</v>
      </c>
      <c r="AE55" s="29">
        <v>24.3</v>
      </c>
      <c r="AF55" s="29">
        <v>66.7</v>
      </c>
      <c r="AG55" s="29">
        <v>11.2</v>
      </c>
      <c r="AH55" s="29">
        <v>1.18</v>
      </c>
      <c r="AI55" s="29">
        <v>1.32</v>
      </c>
      <c r="AJ55" s="29">
        <v>82</v>
      </c>
      <c r="AK55" s="29">
        <v>15.3</v>
      </c>
      <c r="AL55" s="29">
        <v>22.2</v>
      </c>
      <c r="AM55" s="29">
        <v>3.26</v>
      </c>
      <c r="AN55" s="29">
        <v>1.03</v>
      </c>
      <c r="AO55" s="29">
        <v>0.17</v>
      </c>
      <c r="AP55" s="29">
        <v>1.86</v>
      </c>
      <c r="AQ55" s="29">
        <v>0.06</v>
      </c>
      <c r="AR55" s="29">
        <v>96.7</v>
      </c>
      <c r="AS55" s="29">
        <v>5.5E-2</v>
      </c>
      <c r="AT55" s="29">
        <v>0.15</v>
      </c>
      <c r="AU55" s="29">
        <v>97.7</v>
      </c>
      <c r="AV55" s="29">
        <v>2.17</v>
      </c>
      <c r="AW55" s="29">
        <v>76.099999999999994</v>
      </c>
      <c r="AX55" s="29">
        <v>3.61</v>
      </c>
      <c r="AY55" s="29">
        <v>16.3</v>
      </c>
      <c r="AZ55" s="29">
        <v>1.0900000000000001</v>
      </c>
      <c r="BA55" s="29">
        <v>16.5</v>
      </c>
      <c r="BB55" s="29">
        <v>67.7</v>
      </c>
      <c r="BC55" s="29">
        <v>84.3</v>
      </c>
      <c r="BD55" s="29">
        <v>0.44</v>
      </c>
      <c r="BE55" s="29">
        <v>5.12</v>
      </c>
      <c r="BF55" s="29">
        <v>62.2</v>
      </c>
      <c r="BG55" s="29">
        <v>-49.4</v>
      </c>
      <c r="BH55" s="29">
        <v>557</v>
      </c>
      <c r="BI55" s="29">
        <v>466</v>
      </c>
      <c r="BJ55" s="29">
        <v>602</v>
      </c>
      <c r="BK55" s="29">
        <v>1089</v>
      </c>
      <c r="BL55" s="29">
        <v>321</v>
      </c>
      <c r="BM55" s="29">
        <v>52.1</v>
      </c>
    </row>
    <row r="56" spans="1:65" x14ac:dyDescent="0.5">
      <c r="A56" s="44">
        <v>154</v>
      </c>
      <c r="B56" s="30">
        <v>7.51</v>
      </c>
      <c r="C56" s="30">
        <v>3.03</v>
      </c>
      <c r="D56" s="30">
        <v>0.11</v>
      </c>
      <c r="E56" s="30">
        <v>22</v>
      </c>
      <c r="F56" s="30">
        <v>74.599999999999994</v>
      </c>
      <c r="G56" s="30">
        <v>76.099999999999994</v>
      </c>
      <c r="H56" s="30">
        <v>1.4999999999999999E-2</v>
      </c>
      <c r="I56" s="30">
        <v>2.0699999999999998</v>
      </c>
      <c r="J56" s="30">
        <v>1.02</v>
      </c>
      <c r="K56" s="30">
        <v>73.5</v>
      </c>
      <c r="L56" s="30">
        <v>30</v>
      </c>
      <c r="M56" s="30">
        <v>9.1199999999999992</v>
      </c>
      <c r="N56" s="30">
        <v>41.6</v>
      </c>
      <c r="O56" s="30">
        <v>30.1</v>
      </c>
      <c r="P56" s="30">
        <v>16.100000000000001</v>
      </c>
      <c r="Q56" s="30">
        <v>43.9</v>
      </c>
      <c r="R56" s="30">
        <v>55.8</v>
      </c>
      <c r="S56" s="30">
        <v>4.4400000000000004</v>
      </c>
      <c r="T56" s="30">
        <v>15.9</v>
      </c>
      <c r="U56" s="30">
        <v>23.9</v>
      </c>
      <c r="V56" s="30">
        <v>42.1</v>
      </c>
      <c r="W56" s="30">
        <v>4.3600000000000003</v>
      </c>
      <c r="X56" s="30">
        <v>24.4</v>
      </c>
      <c r="Y56" s="30">
        <v>10.6</v>
      </c>
      <c r="Z56" s="30">
        <v>30</v>
      </c>
      <c r="AA56" s="30">
        <v>35</v>
      </c>
      <c r="AB56" s="30">
        <v>42</v>
      </c>
      <c r="AC56" s="30">
        <v>5.8</v>
      </c>
      <c r="AD56" s="30">
        <v>29.6</v>
      </c>
      <c r="AE56" s="30">
        <v>37</v>
      </c>
      <c r="AF56" s="30">
        <v>23.5</v>
      </c>
      <c r="AG56" s="30">
        <v>12.2</v>
      </c>
      <c r="AH56" s="30">
        <v>2.72</v>
      </c>
      <c r="AI56" s="30">
        <v>4.95</v>
      </c>
      <c r="AJ56" s="30">
        <v>83.3</v>
      </c>
      <c r="AK56" s="30">
        <v>8.19</v>
      </c>
      <c r="AL56" s="30">
        <v>25.7</v>
      </c>
      <c r="AM56" s="30">
        <v>49.3</v>
      </c>
      <c r="AN56" s="30">
        <v>0.76</v>
      </c>
      <c r="AO56" s="30">
        <v>0.88</v>
      </c>
      <c r="AP56" s="30">
        <v>2.91</v>
      </c>
      <c r="AQ56" s="30">
        <v>0.88</v>
      </c>
      <c r="AR56" s="30">
        <v>83.3</v>
      </c>
      <c r="AS56" s="30">
        <v>15.4</v>
      </c>
      <c r="AT56" s="30">
        <v>1.0900000000000001</v>
      </c>
      <c r="AU56" s="30">
        <v>80.099999999999994</v>
      </c>
      <c r="AV56" s="30">
        <v>18.8</v>
      </c>
      <c r="AW56" s="30">
        <v>14.5</v>
      </c>
      <c r="AX56" s="30">
        <v>5.79</v>
      </c>
      <c r="AY56" s="30">
        <v>77.7</v>
      </c>
      <c r="AZ56" s="30">
        <v>0.91</v>
      </c>
      <c r="BA56" s="30">
        <v>14.5</v>
      </c>
      <c r="BB56" s="30">
        <v>80.3</v>
      </c>
      <c r="BC56" s="30">
        <v>81.2</v>
      </c>
      <c r="BD56" s="30">
        <v>1.1000000000000001</v>
      </c>
      <c r="BE56" s="30">
        <v>3.53</v>
      </c>
      <c r="BF56" s="30">
        <v>63.9</v>
      </c>
      <c r="BG56" s="30">
        <v>-5.33</v>
      </c>
      <c r="BH56" s="30">
        <v>284</v>
      </c>
      <c r="BI56" s="30">
        <v>270</v>
      </c>
      <c r="BJ56" s="30">
        <v>294</v>
      </c>
      <c r="BK56" s="30">
        <v>203</v>
      </c>
      <c r="BL56" s="30">
        <v>37.5</v>
      </c>
      <c r="BM56" s="30">
        <v>22.4</v>
      </c>
    </row>
    <row r="57" spans="1:65" x14ac:dyDescent="0.5">
      <c r="A57" s="44">
        <v>155</v>
      </c>
      <c r="B57" s="28">
        <v>13.7</v>
      </c>
      <c r="C57" s="28">
        <v>10.4</v>
      </c>
      <c r="D57" s="28">
        <v>1.9E-2</v>
      </c>
      <c r="E57" s="28">
        <v>35.799999999999997</v>
      </c>
      <c r="F57" s="28">
        <v>53.7</v>
      </c>
      <c r="G57" s="28">
        <v>66.099999999999994</v>
      </c>
      <c r="H57" s="28">
        <v>4.8000000000000001E-2</v>
      </c>
      <c r="I57" s="28">
        <v>0.9</v>
      </c>
      <c r="J57" s="28">
        <v>2.2000000000000002</v>
      </c>
      <c r="K57" s="28">
        <v>62.8</v>
      </c>
      <c r="L57" s="28">
        <v>39.799999999999997</v>
      </c>
      <c r="M57" s="28">
        <v>5.51</v>
      </c>
      <c r="N57" s="28">
        <v>41.6</v>
      </c>
      <c r="O57" s="28">
        <v>29.7</v>
      </c>
      <c r="P57" s="28">
        <v>21.9</v>
      </c>
      <c r="Q57" s="28">
        <v>44.8</v>
      </c>
      <c r="R57" s="28">
        <v>38.799999999999997</v>
      </c>
      <c r="S57" s="28">
        <v>17.8</v>
      </c>
      <c r="T57" s="28">
        <v>12</v>
      </c>
      <c r="U57" s="28">
        <v>23</v>
      </c>
      <c r="V57" s="28">
        <v>41.6</v>
      </c>
      <c r="W57" s="28">
        <v>7.46</v>
      </c>
      <c r="X57" s="28">
        <v>39.5</v>
      </c>
      <c r="Y57" s="28">
        <v>6.9</v>
      </c>
      <c r="Z57" s="28">
        <v>37.799999999999997</v>
      </c>
      <c r="AA57" s="28">
        <v>15.7</v>
      </c>
      <c r="AB57" s="28">
        <v>21.8</v>
      </c>
      <c r="AC57" s="28">
        <v>3.18</v>
      </c>
      <c r="AD57" s="28">
        <v>28.7</v>
      </c>
      <c r="AE57" s="28">
        <v>25</v>
      </c>
      <c r="AF57" s="28">
        <v>43</v>
      </c>
      <c r="AG57" s="28">
        <v>16.5</v>
      </c>
      <c r="AH57" s="28">
        <v>24.4</v>
      </c>
      <c r="AI57" s="28">
        <v>41</v>
      </c>
      <c r="AJ57" s="28">
        <v>29.2</v>
      </c>
      <c r="AK57" s="28">
        <v>2.31</v>
      </c>
      <c r="AL57" s="28">
        <v>25.5</v>
      </c>
      <c r="AM57" s="28">
        <v>44.2</v>
      </c>
      <c r="AN57" s="28">
        <v>4.5</v>
      </c>
      <c r="AO57" s="28">
        <v>23.3</v>
      </c>
      <c r="AP57" s="28">
        <v>7.69</v>
      </c>
      <c r="AQ57" s="28">
        <v>14.3</v>
      </c>
      <c r="AR57" s="28">
        <v>74.099999999999994</v>
      </c>
      <c r="AS57" s="28">
        <v>1.1299999999999999</v>
      </c>
      <c r="AT57" s="28">
        <v>5.09</v>
      </c>
      <c r="AU57" s="28">
        <v>84.3</v>
      </c>
      <c r="AV57" s="28">
        <v>0.81</v>
      </c>
      <c r="AW57" s="28">
        <v>18.2</v>
      </c>
      <c r="AX57" s="28">
        <v>29.7</v>
      </c>
      <c r="AY57" s="28">
        <v>48.1</v>
      </c>
      <c r="AZ57" s="28">
        <v>1.0900000000000001</v>
      </c>
      <c r="BA57" s="28">
        <v>12.9</v>
      </c>
      <c r="BB57" s="28">
        <v>52.9</v>
      </c>
      <c r="BC57" s="28">
        <v>73.599999999999994</v>
      </c>
      <c r="BD57" s="28">
        <v>0.32</v>
      </c>
      <c r="BE57" s="28">
        <v>3.64</v>
      </c>
      <c r="BF57" s="28">
        <v>19.100000000000001</v>
      </c>
      <c r="BG57" s="28">
        <v>-76.099999999999994</v>
      </c>
      <c r="BH57" s="28">
        <v>285</v>
      </c>
      <c r="BI57" s="28">
        <v>370</v>
      </c>
      <c r="BJ57" s="28">
        <v>207</v>
      </c>
      <c r="BK57" s="28">
        <v>490</v>
      </c>
      <c r="BL57" s="28">
        <v>235</v>
      </c>
      <c r="BM57" s="28">
        <v>7.9</v>
      </c>
    </row>
    <row r="58" spans="1:65" x14ac:dyDescent="0.5">
      <c r="A58" s="44">
        <v>156</v>
      </c>
      <c r="B58" s="28">
        <v>10.5</v>
      </c>
      <c r="C58" s="28">
        <v>14.6</v>
      </c>
      <c r="D58" s="28">
        <v>0.74</v>
      </c>
      <c r="E58" s="28">
        <v>24.5</v>
      </c>
      <c r="F58" s="28">
        <v>60.2</v>
      </c>
      <c r="G58" s="28">
        <v>75.2</v>
      </c>
      <c r="H58" s="28">
        <v>0.04</v>
      </c>
      <c r="I58" s="28">
        <v>0.45</v>
      </c>
      <c r="J58" s="28">
        <v>3.9</v>
      </c>
      <c r="K58" s="28">
        <v>70.3</v>
      </c>
      <c r="L58" s="28">
        <v>45.2</v>
      </c>
      <c r="M58" s="28">
        <v>11.9</v>
      </c>
      <c r="N58" s="28">
        <v>59.3</v>
      </c>
      <c r="O58" s="28">
        <v>17.5</v>
      </c>
      <c r="P58" s="28">
        <v>10.4</v>
      </c>
      <c r="Q58" s="28">
        <v>26.2</v>
      </c>
      <c r="R58" s="28">
        <v>45.2</v>
      </c>
      <c r="S58" s="28">
        <v>7.81</v>
      </c>
      <c r="T58" s="28">
        <v>20.399999999999999</v>
      </c>
      <c r="U58" s="28">
        <v>27.4</v>
      </c>
      <c r="V58" s="28">
        <v>58</v>
      </c>
      <c r="W58" s="28">
        <v>2.25</v>
      </c>
      <c r="X58" s="28">
        <v>39.6</v>
      </c>
      <c r="Y58" s="28">
        <v>6.42</v>
      </c>
      <c r="Z58" s="28">
        <v>33.200000000000003</v>
      </c>
      <c r="AA58" s="28">
        <v>20.7</v>
      </c>
      <c r="AB58" s="28">
        <v>23.3</v>
      </c>
      <c r="AC58" s="28">
        <v>0.73</v>
      </c>
      <c r="AD58" s="28">
        <v>22.8</v>
      </c>
      <c r="AE58" s="28">
        <v>28.6</v>
      </c>
      <c r="AF58" s="28">
        <v>47.8</v>
      </c>
      <c r="AG58" s="28">
        <v>12.6</v>
      </c>
      <c r="AH58" s="28">
        <v>35.1</v>
      </c>
      <c r="AI58" s="28">
        <v>5.1100000000000003</v>
      </c>
      <c r="AJ58" s="28">
        <v>44.7</v>
      </c>
      <c r="AK58" s="28">
        <v>14.2</v>
      </c>
      <c r="AL58" s="28">
        <v>18.3</v>
      </c>
      <c r="AM58" s="28">
        <v>31.3</v>
      </c>
      <c r="AN58" s="28">
        <v>0.75</v>
      </c>
      <c r="AO58" s="28">
        <v>3.47</v>
      </c>
      <c r="AP58" s="28">
        <v>0.71</v>
      </c>
      <c r="AQ58" s="28">
        <v>0.79</v>
      </c>
      <c r="AR58" s="28">
        <v>82.3</v>
      </c>
      <c r="AS58" s="28">
        <v>13.9</v>
      </c>
      <c r="AT58" s="28">
        <v>3.61</v>
      </c>
      <c r="AU58" s="28">
        <v>94.9</v>
      </c>
      <c r="AV58" s="28">
        <v>4.4400000000000004</v>
      </c>
      <c r="AW58" s="28">
        <v>28.3</v>
      </c>
      <c r="AX58" s="28">
        <v>4.43</v>
      </c>
      <c r="AY58" s="28">
        <v>56.3</v>
      </c>
      <c r="AZ58" s="28">
        <v>0.37</v>
      </c>
      <c r="BA58" s="28">
        <v>6.78</v>
      </c>
      <c r="BB58" s="28">
        <v>63.3</v>
      </c>
      <c r="BC58" s="28">
        <v>88.1</v>
      </c>
      <c r="BD58" s="28">
        <v>0.19</v>
      </c>
      <c r="BE58" s="28">
        <v>4.91</v>
      </c>
      <c r="BF58" s="28">
        <v>24.6</v>
      </c>
      <c r="BG58" s="28">
        <v>-57.6</v>
      </c>
      <c r="BH58" s="28">
        <v>290</v>
      </c>
      <c r="BI58" s="28">
        <v>647</v>
      </c>
      <c r="BJ58" s="28">
        <v>402</v>
      </c>
      <c r="BK58" s="28">
        <v>685</v>
      </c>
      <c r="BL58" s="28">
        <v>172</v>
      </c>
      <c r="BM58" s="28">
        <v>3.23</v>
      </c>
    </row>
    <row r="59" spans="1:65" x14ac:dyDescent="0.5">
      <c r="A59" s="44">
        <v>157</v>
      </c>
      <c r="B59" s="31">
        <v>7.7</v>
      </c>
      <c r="C59" s="31">
        <v>0.49</v>
      </c>
      <c r="D59" s="31">
        <v>0.14000000000000001</v>
      </c>
      <c r="E59" s="31">
        <v>23.9</v>
      </c>
      <c r="F59" s="31">
        <v>75.5</v>
      </c>
      <c r="G59" s="31">
        <v>74.400000000000006</v>
      </c>
      <c r="H59" s="32">
        <v>5.7800000000000004E-3</v>
      </c>
      <c r="I59" s="31">
        <v>5.3999999999999999E-2</v>
      </c>
      <c r="J59" s="31">
        <v>0.51</v>
      </c>
      <c r="K59" s="31">
        <v>73.8</v>
      </c>
      <c r="L59" s="31">
        <v>55.4</v>
      </c>
      <c r="M59" s="31">
        <v>11.8</v>
      </c>
      <c r="N59" s="31">
        <v>30.2</v>
      </c>
      <c r="O59" s="31">
        <v>42.8</v>
      </c>
      <c r="P59" s="31">
        <v>14.5</v>
      </c>
      <c r="Q59" s="31">
        <v>48.4</v>
      </c>
      <c r="R59" s="31">
        <v>52.1</v>
      </c>
      <c r="S59" s="31">
        <v>6.96</v>
      </c>
      <c r="T59" s="31">
        <v>19.600000000000001</v>
      </c>
      <c r="U59" s="31">
        <v>15.2</v>
      </c>
      <c r="V59" s="31">
        <v>30</v>
      </c>
      <c r="W59" s="31">
        <v>8.5500000000000007</v>
      </c>
      <c r="X59" s="31">
        <v>27.6</v>
      </c>
      <c r="Y59" s="31">
        <v>7.5</v>
      </c>
      <c r="Z59" s="31">
        <v>41.9</v>
      </c>
      <c r="AA59" s="31">
        <v>23.1</v>
      </c>
      <c r="AB59" s="31">
        <v>16.399999999999999</v>
      </c>
      <c r="AC59" s="31">
        <v>24.9</v>
      </c>
      <c r="AD59" s="31">
        <v>13.3</v>
      </c>
      <c r="AE59" s="31">
        <v>12.8</v>
      </c>
      <c r="AF59" s="31">
        <v>48.9</v>
      </c>
      <c r="AG59" s="31">
        <v>15.9</v>
      </c>
      <c r="AH59" s="31">
        <v>2.16</v>
      </c>
      <c r="AI59" s="31">
        <v>22.1</v>
      </c>
      <c r="AJ59" s="31">
        <v>74.400000000000006</v>
      </c>
      <c r="AK59" s="31">
        <v>1.07</v>
      </c>
      <c r="AL59" s="31">
        <v>30.9</v>
      </c>
      <c r="AM59" s="31">
        <v>44.7</v>
      </c>
      <c r="AN59" s="31">
        <v>0.5</v>
      </c>
      <c r="AO59" s="31">
        <v>1.0900000000000001</v>
      </c>
      <c r="AP59" s="31">
        <v>1.03</v>
      </c>
      <c r="AQ59" s="31">
        <v>1.65</v>
      </c>
      <c r="AR59" s="31">
        <v>95.1</v>
      </c>
      <c r="AS59" s="31">
        <v>0.33</v>
      </c>
      <c r="AT59" s="31">
        <v>1.24</v>
      </c>
      <c r="AU59" s="31">
        <v>97.9</v>
      </c>
      <c r="AV59" s="31">
        <v>0.41</v>
      </c>
      <c r="AW59" s="31">
        <v>14</v>
      </c>
      <c r="AX59" s="31">
        <v>5.0199999999999996</v>
      </c>
      <c r="AY59" s="31">
        <v>78.3</v>
      </c>
      <c r="AZ59" s="31">
        <v>0.31</v>
      </c>
      <c r="BA59" s="31">
        <v>1.33</v>
      </c>
      <c r="BB59" s="31">
        <v>21.7</v>
      </c>
      <c r="BC59" s="31">
        <v>73</v>
      </c>
      <c r="BD59" s="31">
        <v>0.16</v>
      </c>
      <c r="BE59" s="31">
        <v>1.19</v>
      </c>
      <c r="BF59" s="31">
        <v>44.6</v>
      </c>
      <c r="BG59" s="31">
        <v>-131</v>
      </c>
      <c r="BH59" s="31">
        <v>159</v>
      </c>
      <c r="BI59" s="31">
        <v>330</v>
      </c>
      <c r="BJ59" s="31">
        <v>122</v>
      </c>
      <c r="BK59" s="31">
        <v>351</v>
      </c>
      <c r="BL59" s="31">
        <v>104</v>
      </c>
      <c r="BM59" s="31">
        <v>16.899999999999999</v>
      </c>
    </row>
    <row r="60" spans="1:65" x14ac:dyDescent="0.5">
      <c r="A60" s="44">
        <v>158</v>
      </c>
      <c r="B60" s="35">
        <v>22.3</v>
      </c>
      <c r="C60" s="35">
        <v>3.3</v>
      </c>
      <c r="D60" s="35">
        <v>6.13</v>
      </c>
      <c r="E60" s="35">
        <v>2.73</v>
      </c>
      <c r="F60" s="35">
        <v>87.8</v>
      </c>
      <c r="G60" s="35">
        <v>70.2</v>
      </c>
      <c r="H60" s="35">
        <v>0.18</v>
      </c>
      <c r="I60" s="35">
        <v>0.51</v>
      </c>
      <c r="J60" s="35">
        <v>3.49</v>
      </c>
      <c r="K60" s="35">
        <v>66.099999999999994</v>
      </c>
      <c r="L60" s="35">
        <v>35.799999999999997</v>
      </c>
      <c r="M60" s="35">
        <v>9.2100000000000009</v>
      </c>
      <c r="N60" s="35">
        <v>42.9</v>
      </c>
      <c r="O60" s="35">
        <v>37.4</v>
      </c>
      <c r="P60" s="35">
        <v>8.84</v>
      </c>
      <c r="Q60" s="35">
        <v>36.700000000000003</v>
      </c>
      <c r="R60" s="35">
        <v>50.2</v>
      </c>
      <c r="S60" s="35">
        <v>6.05</v>
      </c>
      <c r="T60" s="35">
        <v>25.8</v>
      </c>
      <c r="U60" s="35">
        <v>32.200000000000003</v>
      </c>
      <c r="V60" s="35">
        <v>43.5</v>
      </c>
      <c r="W60" s="35">
        <v>8.91</v>
      </c>
      <c r="X60" s="35">
        <v>29.1</v>
      </c>
      <c r="Y60" s="35">
        <v>9.85</v>
      </c>
      <c r="Z60" s="35">
        <v>22.8</v>
      </c>
      <c r="AA60" s="35">
        <v>38.200000000000003</v>
      </c>
      <c r="AB60" s="35">
        <v>27.9</v>
      </c>
      <c r="AC60" s="35">
        <v>4.8</v>
      </c>
      <c r="AD60" s="35">
        <v>7.28</v>
      </c>
      <c r="AE60" s="35">
        <v>9.69</v>
      </c>
      <c r="AF60" s="35">
        <v>78.2</v>
      </c>
      <c r="AG60" s="35">
        <v>4.96</v>
      </c>
      <c r="AH60" s="35">
        <v>27.2</v>
      </c>
      <c r="AI60" s="35">
        <v>21</v>
      </c>
      <c r="AJ60" s="35">
        <v>33.4</v>
      </c>
      <c r="AK60" s="35">
        <v>8.34</v>
      </c>
      <c r="AL60" s="35">
        <v>34</v>
      </c>
      <c r="AM60" s="35">
        <v>17</v>
      </c>
      <c r="AN60" s="35">
        <v>2.17</v>
      </c>
      <c r="AO60" s="35">
        <v>0.62</v>
      </c>
      <c r="AP60" s="35">
        <v>9.23</v>
      </c>
      <c r="AQ60" s="35">
        <v>1.78</v>
      </c>
      <c r="AR60" s="35">
        <v>91.9</v>
      </c>
      <c r="AS60" s="35">
        <v>5.58</v>
      </c>
      <c r="AT60" s="35">
        <v>2.3199999999999998</v>
      </c>
      <c r="AU60" s="35">
        <v>84.5</v>
      </c>
      <c r="AV60" s="35">
        <v>5.59</v>
      </c>
      <c r="AW60" s="35">
        <v>30.3</v>
      </c>
      <c r="AX60" s="35">
        <v>7.54</v>
      </c>
      <c r="AY60" s="35">
        <v>58.2</v>
      </c>
      <c r="AZ60" s="35">
        <v>0.54</v>
      </c>
      <c r="BA60" s="35">
        <v>13.6</v>
      </c>
      <c r="BB60" s="35">
        <v>60.6</v>
      </c>
      <c r="BC60" s="35">
        <v>69.900000000000006</v>
      </c>
      <c r="BD60" s="35">
        <v>0.88</v>
      </c>
      <c r="BE60" s="35">
        <v>10.9</v>
      </c>
      <c r="BF60" s="35">
        <v>19.5</v>
      </c>
      <c r="BG60" s="35">
        <v>74</v>
      </c>
      <c r="BH60" s="35">
        <v>537</v>
      </c>
      <c r="BI60" s="35">
        <v>491</v>
      </c>
      <c r="BJ60" s="35">
        <v>461</v>
      </c>
      <c r="BK60" s="35">
        <v>772</v>
      </c>
      <c r="BL60" s="35">
        <v>365</v>
      </c>
      <c r="BM60" s="35">
        <v>13.5</v>
      </c>
    </row>
    <row r="61" spans="1:65" x14ac:dyDescent="0.5">
      <c r="A61" s="44">
        <v>159</v>
      </c>
      <c r="B61" s="28">
        <v>3.73</v>
      </c>
      <c r="C61" s="28">
        <v>8.31</v>
      </c>
      <c r="D61" s="28">
        <v>0.55000000000000004</v>
      </c>
      <c r="E61" s="28">
        <v>29.6</v>
      </c>
      <c r="F61" s="28">
        <v>61.5</v>
      </c>
      <c r="G61" s="28">
        <v>91.8</v>
      </c>
      <c r="H61" s="28">
        <v>2.4E-2</v>
      </c>
      <c r="I61" s="28">
        <v>1.72</v>
      </c>
      <c r="J61" s="28">
        <v>2.58</v>
      </c>
      <c r="K61" s="28">
        <v>87.3</v>
      </c>
      <c r="L61" s="28">
        <v>48.8</v>
      </c>
      <c r="M61" s="28">
        <v>13.3</v>
      </c>
      <c r="N61" s="28">
        <v>41.5</v>
      </c>
      <c r="O61" s="28">
        <v>26.2</v>
      </c>
      <c r="P61" s="28">
        <v>17.100000000000001</v>
      </c>
      <c r="Q61" s="28">
        <v>39</v>
      </c>
      <c r="R61" s="28">
        <v>47</v>
      </c>
      <c r="S61" s="28">
        <v>13</v>
      </c>
      <c r="T61" s="28">
        <v>11.5</v>
      </c>
      <c r="U61" s="28">
        <v>15.6</v>
      </c>
      <c r="V61" s="28">
        <v>42</v>
      </c>
      <c r="W61" s="28">
        <v>5.22</v>
      </c>
      <c r="X61" s="28">
        <v>35.9</v>
      </c>
      <c r="Y61" s="28">
        <v>8.4600000000000009</v>
      </c>
      <c r="Z61" s="28">
        <v>39.1</v>
      </c>
      <c r="AA61" s="28">
        <v>16.5</v>
      </c>
      <c r="AB61" s="28">
        <v>37.5</v>
      </c>
      <c r="AC61" s="28">
        <v>2.98</v>
      </c>
      <c r="AD61" s="28">
        <v>11.7</v>
      </c>
      <c r="AE61" s="28">
        <v>36.299999999999997</v>
      </c>
      <c r="AF61" s="28">
        <v>48.9</v>
      </c>
      <c r="AG61" s="28">
        <v>1.93</v>
      </c>
      <c r="AH61" s="28">
        <v>14.3</v>
      </c>
      <c r="AI61" s="28">
        <v>25.6</v>
      </c>
      <c r="AJ61" s="28">
        <v>50.6</v>
      </c>
      <c r="AK61" s="28">
        <v>8.11</v>
      </c>
      <c r="AL61" s="28">
        <v>21</v>
      </c>
      <c r="AM61" s="28">
        <v>31.5</v>
      </c>
      <c r="AN61" s="28">
        <v>4.6100000000000003</v>
      </c>
      <c r="AO61" s="28">
        <v>2.33</v>
      </c>
      <c r="AP61" s="28">
        <v>23.5</v>
      </c>
      <c r="AQ61" s="28">
        <v>1.23</v>
      </c>
      <c r="AR61" s="28">
        <v>93</v>
      </c>
      <c r="AS61" s="28">
        <v>3.32</v>
      </c>
      <c r="AT61" s="28">
        <v>1.74</v>
      </c>
      <c r="AU61" s="28">
        <v>98.6</v>
      </c>
      <c r="AV61" s="28">
        <v>0</v>
      </c>
      <c r="AW61" s="28">
        <v>27.2</v>
      </c>
      <c r="AX61" s="28">
        <v>17</v>
      </c>
      <c r="AY61" s="28">
        <v>49.6</v>
      </c>
      <c r="AZ61" s="28">
        <v>0.59</v>
      </c>
      <c r="BA61" s="28">
        <v>5.52</v>
      </c>
      <c r="BB61" s="28">
        <v>53.2</v>
      </c>
      <c r="BC61" s="28">
        <v>84.7</v>
      </c>
      <c r="BD61" s="28">
        <v>0.17</v>
      </c>
      <c r="BE61" s="28">
        <v>3.93</v>
      </c>
      <c r="BF61" s="28">
        <v>49.2</v>
      </c>
      <c r="BG61" s="28">
        <v>-83.7</v>
      </c>
      <c r="BH61" s="28">
        <v>210</v>
      </c>
      <c r="BI61" s="28">
        <v>272</v>
      </c>
      <c r="BJ61" s="28">
        <v>231</v>
      </c>
      <c r="BK61" s="28">
        <v>461</v>
      </c>
      <c r="BL61" s="28">
        <v>92.1</v>
      </c>
      <c r="BM61" s="28">
        <v>-13.1</v>
      </c>
    </row>
    <row r="62" spans="1:65" x14ac:dyDescent="0.5">
      <c r="A62" s="44">
        <v>160</v>
      </c>
      <c r="B62" s="28">
        <v>14.6</v>
      </c>
      <c r="C62" s="28">
        <v>1.69</v>
      </c>
      <c r="D62" s="28">
        <v>0.23</v>
      </c>
      <c r="E62" s="28">
        <v>21</v>
      </c>
      <c r="F62" s="28">
        <v>77.099999999999994</v>
      </c>
      <c r="G62" s="28">
        <v>75.7</v>
      </c>
      <c r="H62" s="28">
        <v>1.2E-2</v>
      </c>
      <c r="I62" s="28">
        <v>0.46</v>
      </c>
      <c r="J62" s="28">
        <v>1.02</v>
      </c>
      <c r="K62" s="28">
        <v>74.3</v>
      </c>
      <c r="L62" s="28">
        <v>44.6</v>
      </c>
      <c r="M62" s="28">
        <v>4.21</v>
      </c>
      <c r="N62" s="28">
        <v>62.7</v>
      </c>
      <c r="O62" s="28">
        <v>25.6</v>
      </c>
      <c r="P62" s="28">
        <v>7.03</v>
      </c>
      <c r="Q62" s="28">
        <v>28.9</v>
      </c>
      <c r="R62" s="28">
        <v>55.5</v>
      </c>
      <c r="S62" s="28">
        <v>7.35</v>
      </c>
      <c r="T62" s="28">
        <v>24.4</v>
      </c>
      <c r="U62" s="28">
        <v>13</v>
      </c>
      <c r="V62" s="28">
        <v>57.7</v>
      </c>
      <c r="W62" s="28">
        <v>3.16</v>
      </c>
      <c r="X62" s="28">
        <v>28.4</v>
      </c>
      <c r="Y62" s="28">
        <v>10.9</v>
      </c>
      <c r="Z62" s="28">
        <v>30.6</v>
      </c>
      <c r="AA62" s="28">
        <v>30.2</v>
      </c>
      <c r="AB62" s="28">
        <v>29.1</v>
      </c>
      <c r="AC62" s="28">
        <v>3.65</v>
      </c>
      <c r="AD62" s="28">
        <v>14.7</v>
      </c>
      <c r="AE62" s="28">
        <v>66.5</v>
      </c>
      <c r="AF62" s="28">
        <v>15.2</v>
      </c>
      <c r="AG62" s="28">
        <v>6.85</v>
      </c>
      <c r="AH62" s="28">
        <v>7.19</v>
      </c>
      <c r="AI62" s="28">
        <v>48</v>
      </c>
      <c r="AJ62" s="28">
        <v>30.1</v>
      </c>
      <c r="AK62" s="28">
        <v>3.98</v>
      </c>
      <c r="AL62" s="28">
        <v>3.97</v>
      </c>
      <c r="AM62" s="28">
        <v>6.31</v>
      </c>
      <c r="AN62" s="28">
        <v>1.42</v>
      </c>
      <c r="AO62" s="28">
        <v>0.89</v>
      </c>
      <c r="AP62" s="28">
        <v>45</v>
      </c>
      <c r="AQ62" s="28">
        <v>4.9400000000000004</v>
      </c>
      <c r="AR62" s="28">
        <v>90.6</v>
      </c>
      <c r="AS62" s="28">
        <v>7.05</v>
      </c>
      <c r="AT62" s="28">
        <v>2.21</v>
      </c>
      <c r="AU62" s="28">
        <v>45.4</v>
      </c>
      <c r="AV62" s="28">
        <v>5.2</v>
      </c>
      <c r="AW62" s="28">
        <v>75.3</v>
      </c>
      <c r="AX62" s="28">
        <v>3.52</v>
      </c>
      <c r="AY62" s="28">
        <v>12.1</v>
      </c>
      <c r="AZ62" s="28">
        <v>3.59</v>
      </c>
      <c r="BA62" s="28">
        <v>10.5</v>
      </c>
      <c r="BB62" s="28">
        <v>75.3</v>
      </c>
      <c r="BC62" s="28">
        <v>84.4</v>
      </c>
      <c r="BD62" s="28">
        <v>0.7</v>
      </c>
      <c r="BE62" s="28">
        <v>7.28</v>
      </c>
      <c r="BF62" s="28">
        <v>36.700000000000003</v>
      </c>
      <c r="BG62" s="28">
        <v>160</v>
      </c>
      <c r="BH62" s="28">
        <v>564</v>
      </c>
      <c r="BI62" s="28">
        <v>750</v>
      </c>
      <c r="BJ62" s="28">
        <v>477</v>
      </c>
      <c r="BK62" s="28">
        <v>374</v>
      </c>
      <c r="BL62" s="28">
        <v>73.5</v>
      </c>
      <c r="BM62" s="28">
        <v>41.4</v>
      </c>
    </row>
    <row r="63" spans="1:65" x14ac:dyDescent="0.5">
      <c r="A63" s="44">
        <v>161</v>
      </c>
      <c r="B63" s="28">
        <v>20.3</v>
      </c>
      <c r="C63" s="28">
        <v>6.13</v>
      </c>
      <c r="D63" s="28">
        <v>0.3</v>
      </c>
      <c r="E63" s="28">
        <v>30.3</v>
      </c>
      <c r="F63" s="28">
        <v>63.3</v>
      </c>
      <c r="G63" s="28">
        <v>57</v>
      </c>
      <c r="H63" s="34">
        <v>3.47E-3</v>
      </c>
      <c r="I63" s="28">
        <v>0.24</v>
      </c>
      <c r="J63" s="28">
        <v>2.11</v>
      </c>
      <c r="K63" s="28">
        <v>54.6</v>
      </c>
      <c r="L63" s="28">
        <v>32</v>
      </c>
      <c r="M63" s="28">
        <v>7.65</v>
      </c>
      <c r="N63" s="28">
        <v>50.1</v>
      </c>
      <c r="O63" s="28">
        <v>35</v>
      </c>
      <c r="P63" s="28">
        <v>6.03</v>
      </c>
      <c r="Q63" s="28">
        <v>31.6</v>
      </c>
      <c r="R63" s="28">
        <v>47.6</v>
      </c>
      <c r="S63" s="28">
        <v>5.9</v>
      </c>
      <c r="T63" s="28">
        <v>24.1</v>
      </c>
      <c r="U63" s="28">
        <v>24.3</v>
      </c>
      <c r="V63" s="28">
        <v>50.9</v>
      </c>
      <c r="W63" s="28">
        <v>8.8699999999999992</v>
      </c>
      <c r="X63" s="28">
        <v>36</v>
      </c>
      <c r="Y63" s="28">
        <v>10.5</v>
      </c>
      <c r="Z63" s="28">
        <v>27.9</v>
      </c>
      <c r="AA63" s="28">
        <v>25.6</v>
      </c>
      <c r="AB63" s="28">
        <v>21.2</v>
      </c>
      <c r="AC63" s="28">
        <v>2.52</v>
      </c>
      <c r="AD63" s="28">
        <v>3.41</v>
      </c>
      <c r="AE63" s="28">
        <v>11.6</v>
      </c>
      <c r="AF63" s="28">
        <v>82.4</v>
      </c>
      <c r="AG63" s="28">
        <v>19.100000000000001</v>
      </c>
      <c r="AH63" s="28">
        <v>3.95</v>
      </c>
      <c r="AI63" s="28">
        <v>3.52</v>
      </c>
      <c r="AJ63" s="28">
        <v>80.900000000000006</v>
      </c>
      <c r="AK63" s="28">
        <v>9.27</v>
      </c>
      <c r="AL63" s="28">
        <v>40.1</v>
      </c>
      <c r="AM63" s="28">
        <v>21.5</v>
      </c>
      <c r="AN63" s="28">
        <v>0.49</v>
      </c>
      <c r="AO63" s="28">
        <v>0.7</v>
      </c>
      <c r="AP63" s="28">
        <v>6.03</v>
      </c>
      <c r="AQ63" s="28">
        <v>2.97</v>
      </c>
      <c r="AR63" s="28">
        <v>82.5</v>
      </c>
      <c r="AS63" s="28">
        <v>16.7</v>
      </c>
      <c r="AT63" s="28">
        <v>0.77</v>
      </c>
      <c r="AU63" s="28">
        <v>73.900000000000006</v>
      </c>
      <c r="AV63" s="28">
        <v>18.399999999999999</v>
      </c>
      <c r="AW63" s="28">
        <v>23.6</v>
      </c>
      <c r="AX63" s="28">
        <v>4.17</v>
      </c>
      <c r="AY63" s="28">
        <v>64.3</v>
      </c>
      <c r="AZ63" s="28">
        <v>0.33</v>
      </c>
      <c r="BA63" s="28">
        <v>13.6</v>
      </c>
      <c r="BB63" s="28">
        <v>56.4</v>
      </c>
      <c r="BC63" s="28">
        <v>80</v>
      </c>
      <c r="BD63" s="28">
        <v>0.4</v>
      </c>
      <c r="BE63" s="28">
        <v>5.1100000000000003</v>
      </c>
      <c r="BF63" s="28">
        <v>12.3</v>
      </c>
      <c r="BG63" s="28">
        <v>51.4</v>
      </c>
      <c r="BH63" s="28">
        <v>516</v>
      </c>
      <c r="BI63" s="28">
        <v>644</v>
      </c>
      <c r="BJ63" s="28">
        <v>400</v>
      </c>
      <c r="BK63" s="28">
        <v>330</v>
      </c>
      <c r="BL63" s="28">
        <v>81.099999999999994</v>
      </c>
      <c r="BM63" s="28">
        <v>-7.4</v>
      </c>
    </row>
    <row r="64" spans="1:65" x14ac:dyDescent="0.5">
      <c r="A64" s="44">
        <v>162</v>
      </c>
      <c r="B64" s="28">
        <v>23.3</v>
      </c>
      <c r="C64" s="28">
        <v>11.7</v>
      </c>
      <c r="D64" s="28">
        <v>2.87</v>
      </c>
      <c r="E64" s="28">
        <v>27.3</v>
      </c>
      <c r="F64" s="28">
        <v>58.2</v>
      </c>
      <c r="G64" s="28">
        <v>57.6</v>
      </c>
      <c r="H64" s="28">
        <v>1.0999999999999999E-2</v>
      </c>
      <c r="I64" s="28">
        <v>1.25</v>
      </c>
      <c r="J64" s="28">
        <v>0.62</v>
      </c>
      <c r="K64" s="28">
        <v>56.2</v>
      </c>
      <c r="L64" s="28">
        <v>42.3</v>
      </c>
      <c r="M64" s="28">
        <v>9.34</v>
      </c>
      <c r="N64" s="28">
        <v>48.4</v>
      </c>
      <c r="O64" s="28">
        <v>32.5</v>
      </c>
      <c r="P64" s="28">
        <v>9.25</v>
      </c>
      <c r="Q64" s="28">
        <v>32.799999999999997</v>
      </c>
      <c r="R64" s="28">
        <v>53.3</v>
      </c>
      <c r="S64" s="28">
        <v>5.79</v>
      </c>
      <c r="T64" s="28">
        <v>22.2</v>
      </c>
      <c r="U64" s="28">
        <v>22</v>
      </c>
      <c r="V64" s="28">
        <v>43.4</v>
      </c>
      <c r="W64" s="28">
        <v>8.52</v>
      </c>
      <c r="X64" s="28">
        <v>30.7</v>
      </c>
      <c r="Y64" s="28">
        <v>8.76</v>
      </c>
      <c r="Z64" s="28">
        <v>25.5</v>
      </c>
      <c r="AA64" s="28">
        <v>35.1</v>
      </c>
      <c r="AB64" s="28">
        <v>13</v>
      </c>
      <c r="AC64" s="28">
        <v>3.58</v>
      </c>
      <c r="AD64" s="28">
        <v>8.15</v>
      </c>
      <c r="AE64" s="28">
        <v>45.9</v>
      </c>
      <c r="AF64" s="28">
        <v>42.3</v>
      </c>
      <c r="AG64" s="28">
        <v>16.3</v>
      </c>
      <c r="AH64" s="28">
        <v>6.4</v>
      </c>
      <c r="AI64" s="28">
        <v>3.01</v>
      </c>
      <c r="AJ64" s="28">
        <v>77.7</v>
      </c>
      <c r="AK64" s="28">
        <v>10.6</v>
      </c>
      <c r="AL64" s="28">
        <v>21.5</v>
      </c>
      <c r="AM64" s="28">
        <v>23.2</v>
      </c>
      <c r="AN64" s="28">
        <v>0.41</v>
      </c>
      <c r="AO64" s="28">
        <v>0.6</v>
      </c>
      <c r="AP64" s="28">
        <v>8.32</v>
      </c>
      <c r="AQ64" s="28">
        <v>3.14</v>
      </c>
      <c r="AR64" s="28">
        <v>80.2</v>
      </c>
      <c r="AS64" s="28">
        <v>18.899999999999999</v>
      </c>
      <c r="AT64" s="28">
        <v>0.85</v>
      </c>
      <c r="AU64" s="28">
        <v>74</v>
      </c>
      <c r="AV64" s="28">
        <v>15.6</v>
      </c>
      <c r="AW64" s="28">
        <v>37.1</v>
      </c>
      <c r="AX64" s="28">
        <v>6.5</v>
      </c>
      <c r="AY64" s="28">
        <v>47.2</v>
      </c>
      <c r="AZ64" s="28">
        <v>0.69</v>
      </c>
      <c r="BA64" s="28">
        <v>6.25</v>
      </c>
      <c r="BB64" s="28">
        <v>35.799999999999997</v>
      </c>
      <c r="BC64" s="28">
        <v>74.599999999999994</v>
      </c>
      <c r="BD64" s="28">
        <v>0.39</v>
      </c>
      <c r="BE64" s="28">
        <v>3.14</v>
      </c>
      <c r="BF64" s="28">
        <v>41.5</v>
      </c>
      <c r="BG64" s="28">
        <v>-18</v>
      </c>
      <c r="BH64" s="28">
        <v>345</v>
      </c>
      <c r="BI64" s="28">
        <v>651</v>
      </c>
      <c r="BJ64" s="28">
        <v>446</v>
      </c>
      <c r="BK64" s="28">
        <v>725</v>
      </c>
      <c r="BL64" s="28">
        <v>125</v>
      </c>
      <c r="BM64" s="28">
        <v>-41.1</v>
      </c>
    </row>
    <row r="65" spans="1:65" x14ac:dyDescent="0.5">
      <c r="A65" s="44">
        <v>163</v>
      </c>
      <c r="B65" s="30">
        <v>18.899999999999999</v>
      </c>
      <c r="C65" s="30">
        <v>1.95</v>
      </c>
      <c r="D65" s="30">
        <v>0.35</v>
      </c>
      <c r="E65" s="30">
        <v>38</v>
      </c>
      <c r="F65" s="30">
        <v>59.7</v>
      </c>
      <c r="G65" s="30">
        <v>61.3</v>
      </c>
      <c r="H65" s="30">
        <v>0.15</v>
      </c>
      <c r="I65" s="30">
        <v>1.42</v>
      </c>
      <c r="J65" s="30">
        <v>14.8</v>
      </c>
      <c r="K65" s="30">
        <v>44.9</v>
      </c>
      <c r="L65" s="30">
        <v>28.1</v>
      </c>
      <c r="M65" s="30">
        <v>8.16</v>
      </c>
      <c r="N65" s="30">
        <v>42.9</v>
      </c>
      <c r="O65" s="30">
        <v>29.9</v>
      </c>
      <c r="P65" s="30">
        <v>17</v>
      </c>
      <c r="Q65" s="30">
        <v>39.200000000000003</v>
      </c>
      <c r="R65" s="30">
        <v>54.8</v>
      </c>
      <c r="S65" s="30">
        <v>4.05</v>
      </c>
      <c r="T65" s="30">
        <v>33</v>
      </c>
      <c r="U65" s="30">
        <v>8.19</v>
      </c>
      <c r="V65" s="30">
        <v>43.1</v>
      </c>
      <c r="W65" s="30">
        <v>8.0299999999999994</v>
      </c>
      <c r="X65" s="30">
        <v>53.6</v>
      </c>
      <c r="Y65" s="30">
        <v>1.6</v>
      </c>
      <c r="Z65" s="30">
        <v>38.799999999999997</v>
      </c>
      <c r="AA65" s="30">
        <v>6</v>
      </c>
      <c r="AB65" s="30">
        <v>16.2</v>
      </c>
      <c r="AC65" s="30">
        <v>6.72</v>
      </c>
      <c r="AD65" s="30">
        <v>13.9</v>
      </c>
      <c r="AE65" s="30">
        <v>42.6</v>
      </c>
      <c r="AF65" s="30">
        <v>36.700000000000003</v>
      </c>
      <c r="AG65" s="30">
        <v>20.399999999999999</v>
      </c>
      <c r="AH65" s="30">
        <v>6.48</v>
      </c>
      <c r="AI65" s="30">
        <v>7.49</v>
      </c>
      <c r="AJ65" s="30">
        <v>74.2</v>
      </c>
      <c r="AK65" s="30">
        <v>5.29</v>
      </c>
      <c r="AL65" s="30">
        <v>6.04</v>
      </c>
      <c r="AM65" s="30">
        <v>34.200000000000003</v>
      </c>
      <c r="AN65" s="30">
        <v>1.1299999999999999</v>
      </c>
      <c r="AO65" s="30">
        <v>1.25</v>
      </c>
      <c r="AP65" s="30">
        <v>11.4</v>
      </c>
      <c r="AQ65" s="30">
        <v>16.600000000000001</v>
      </c>
      <c r="AR65" s="30">
        <v>34.4</v>
      </c>
      <c r="AS65" s="30">
        <v>64.2</v>
      </c>
      <c r="AT65" s="30">
        <v>1.28</v>
      </c>
      <c r="AU65" s="30">
        <v>46.9</v>
      </c>
      <c r="AV65" s="30">
        <v>31.1</v>
      </c>
      <c r="AW65" s="30">
        <v>39.700000000000003</v>
      </c>
      <c r="AX65" s="30">
        <v>7.26</v>
      </c>
      <c r="AY65" s="30">
        <v>41.2</v>
      </c>
      <c r="AZ65" s="30">
        <v>4.4400000000000004</v>
      </c>
      <c r="BA65" s="30">
        <v>23.2</v>
      </c>
      <c r="BB65" s="30">
        <v>76.3</v>
      </c>
      <c r="BC65" s="30">
        <v>52.9</v>
      </c>
      <c r="BD65" s="30">
        <v>0.49</v>
      </c>
      <c r="BE65" s="30">
        <v>4.2699999999999996</v>
      </c>
      <c r="BF65" s="30">
        <v>45.7</v>
      </c>
      <c r="BG65" s="30">
        <v>-31.7</v>
      </c>
      <c r="BH65" s="30">
        <v>477</v>
      </c>
      <c r="BI65" s="30">
        <v>453</v>
      </c>
      <c r="BJ65" s="30">
        <v>668</v>
      </c>
      <c r="BK65" s="30">
        <v>334</v>
      </c>
      <c r="BL65" s="30">
        <v>219</v>
      </c>
      <c r="BM65" s="30">
        <v>58.1</v>
      </c>
    </row>
    <row r="66" spans="1:65" x14ac:dyDescent="0.5">
      <c r="A66" s="44">
        <v>164</v>
      </c>
      <c r="B66" s="30">
        <v>12.5</v>
      </c>
      <c r="C66" s="30">
        <v>2.87</v>
      </c>
      <c r="D66" s="30">
        <v>0.16</v>
      </c>
      <c r="E66" s="30">
        <v>35.700000000000003</v>
      </c>
      <c r="F66" s="30">
        <v>61.3</v>
      </c>
      <c r="G66" s="30">
        <v>61</v>
      </c>
      <c r="H66" s="30">
        <v>0.28999999999999998</v>
      </c>
      <c r="I66" s="30">
        <v>1.18</v>
      </c>
      <c r="J66" s="30">
        <v>2.29</v>
      </c>
      <c r="K66" s="30">
        <v>56.5</v>
      </c>
      <c r="L66" s="30">
        <v>34.4</v>
      </c>
      <c r="M66" s="30">
        <v>5.58</v>
      </c>
      <c r="N66" s="30">
        <v>57</v>
      </c>
      <c r="O66" s="30">
        <v>27.8</v>
      </c>
      <c r="P66" s="30">
        <v>7.67</v>
      </c>
      <c r="Q66" s="30">
        <v>29.7</v>
      </c>
      <c r="R66" s="30">
        <v>36.9</v>
      </c>
      <c r="S66" s="30">
        <v>10.5</v>
      </c>
      <c r="T66" s="30">
        <v>24.5</v>
      </c>
      <c r="U66" s="30">
        <v>28.1</v>
      </c>
      <c r="V66" s="30">
        <v>57.4</v>
      </c>
      <c r="W66" s="30">
        <v>6.2</v>
      </c>
      <c r="X66" s="30">
        <v>45</v>
      </c>
      <c r="Y66" s="30">
        <v>3.67</v>
      </c>
      <c r="Z66" s="30">
        <v>35.299999999999997</v>
      </c>
      <c r="AA66" s="30">
        <v>16</v>
      </c>
      <c r="AB66" s="30">
        <v>11</v>
      </c>
      <c r="AC66" s="30">
        <v>6.91</v>
      </c>
      <c r="AD66" s="30">
        <v>7.25</v>
      </c>
      <c r="AE66" s="30">
        <v>7.89</v>
      </c>
      <c r="AF66" s="30">
        <v>77.900000000000006</v>
      </c>
      <c r="AG66" s="30">
        <v>4.63</v>
      </c>
      <c r="AH66" s="30">
        <v>11.8</v>
      </c>
      <c r="AI66" s="30">
        <v>11.1</v>
      </c>
      <c r="AJ66" s="30">
        <v>40.5</v>
      </c>
      <c r="AK66" s="30">
        <v>13.1</v>
      </c>
      <c r="AL66" s="30">
        <v>9.6999999999999993</v>
      </c>
      <c r="AM66" s="30">
        <v>49.5</v>
      </c>
      <c r="AN66" s="30">
        <v>1.98</v>
      </c>
      <c r="AO66" s="30">
        <v>1.79</v>
      </c>
      <c r="AP66" s="30">
        <v>24.2</v>
      </c>
      <c r="AQ66" s="30">
        <v>9.5399999999999991</v>
      </c>
      <c r="AR66" s="30">
        <v>37.200000000000003</v>
      </c>
      <c r="AS66" s="30">
        <v>59.8</v>
      </c>
      <c r="AT66" s="30">
        <v>2.95</v>
      </c>
      <c r="AU66" s="30">
        <v>42.6</v>
      </c>
      <c r="AV66" s="30">
        <v>27.1</v>
      </c>
      <c r="AW66" s="30">
        <v>20.7</v>
      </c>
      <c r="AX66" s="30">
        <v>6.09</v>
      </c>
      <c r="AY66" s="30">
        <v>64.5</v>
      </c>
      <c r="AZ66" s="30">
        <v>4.21</v>
      </c>
      <c r="BA66" s="30">
        <v>25</v>
      </c>
      <c r="BB66" s="30">
        <v>59.8</v>
      </c>
      <c r="BC66" s="30">
        <v>65.400000000000006</v>
      </c>
      <c r="BD66" s="30">
        <v>1.26</v>
      </c>
      <c r="BE66" s="30">
        <v>8.5299999999999994</v>
      </c>
      <c r="BF66" s="30">
        <v>22</v>
      </c>
      <c r="BG66" s="30">
        <v>-22.7</v>
      </c>
      <c r="BH66" s="30">
        <v>285</v>
      </c>
      <c r="BI66" s="30">
        <v>280</v>
      </c>
      <c r="BJ66" s="30">
        <v>502</v>
      </c>
      <c r="BK66" s="30">
        <v>1000</v>
      </c>
      <c r="BL66" s="30">
        <v>326</v>
      </c>
      <c r="BM66" s="30">
        <v>5.41</v>
      </c>
    </row>
    <row r="67" spans="1:65" x14ac:dyDescent="0.5">
      <c r="A67" s="44">
        <v>165</v>
      </c>
      <c r="B67" s="29">
        <v>29.5</v>
      </c>
      <c r="C67" s="29">
        <v>11.6</v>
      </c>
      <c r="D67" s="29">
        <v>8.4499999999999993</v>
      </c>
      <c r="E67" s="29">
        <v>14.6</v>
      </c>
      <c r="F67" s="29">
        <v>65.400000000000006</v>
      </c>
      <c r="G67" s="29">
        <v>65</v>
      </c>
      <c r="H67" s="29">
        <v>1.4999999999999999E-2</v>
      </c>
      <c r="I67" s="29">
        <v>0.61</v>
      </c>
      <c r="J67" s="29">
        <v>2.9</v>
      </c>
      <c r="K67" s="29">
        <v>61.5</v>
      </c>
      <c r="L67" s="29">
        <v>18.600000000000001</v>
      </c>
      <c r="M67" s="29">
        <v>4.47</v>
      </c>
      <c r="N67" s="29">
        <v>42.5</v>
      </c>
      <c r="O67" s="29">
        <v>29.6</v>
      </c>
      <c r="P67" s="29">
        <v>22.4</v>
      </c>
      <c r="Q67" s="29">
        <v>48.2</v>
      </c>
      <c r="R67" s="29">
        <v>75.599999999999994</v>
      </c>
      <c r="S67" s="29">
        <v>1.4</v>
      </c>
      <c r="T67" s="29">
        <v>18.899999999999999</v>
      </c>
      <c r="U67" s="29">
        <v>6.96</v>
      </c>
      <c r="V67" s="29">
        <v>40.1</v>
      </c>
      <c r="W67" s="29">
        <v>2.85</v>
      </c>
      <c r="X67" s="29">
        <v>50</v>
      </c>
      <c r="Y67" s="29">
        <v>1.51</v>
      </c>
      <c r="Z67" s="29">
        <v>39</v>
      </c>
      <c r="AA67" s="29">
        <v>9.48</v>
      </c>
      <c r="AB67" s="29">
        <v>39</v>
      </c>
      <c r="AC67" s="29">
        <v>3.8</v>
      </c>
      <c r="AD67" s="29">
        <v>31.1</v>
      </c>
      <c r="AE67" s="29">
        <v>33.5</v>
      </c>
      <c r="AF67" s="29">
        <v>31.6</v>
      </c>
      <c r="AG67" s="38">
        <v>2.8999999999999998E-3</v>
      </c>
      <c r="AH67" s="29">
        <v>0</v>
      </c>
      <c r="AI67" s="29">
        <v>0</v>
      </c>
      <c r="AJ67" s="29">
        <v>100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50</v>
      </c>
      <c r="AS67" s="29">
        <v>0</v>
      </c>
      <c r="AT67" s="29">
        <v>50</v>
      </c>
      <c r="AU67" s="29">
        <v>0</v>
      </c>
      <c r="AV67" s="29">
        <v>0</v>
      </c>
      <c r="AW67" s="29">
        <v>0</v>
      </c>
      <c r="AX67" s="29">
        <v>0</v>
      </c>
      <c r="AY67" s="29">
        <v>0</v>
      </c>
      <c r="AZ67" s="29">
        <v>2.2400000000000002</v>
      </c>
      <c r="BA67" s="29">
        <v>29.3</v>
      </c>
      <c r="BB67" s="29">
        <v>63.8</v>
      </c>
      <c r="BC67" s="29">
        <v>78.400000000000006</v>
      </c>
      <c r="BD67" s="29">
        <v>0.75</v>
      </c>
      <c r="BE67" s="29">
        <v>8.8000000000000007</v>
      </c>
      <c r="BF67" s="29">
        <v>33.700000000000003</v>
      </c>
      <c r="BG67" s="29">
        <v>303</v>
      </c>
      <c r="BH67" s="29">
        <v>2205</v>
      </c>
      <c r="BI67" s="29">
        <v>974</v>
      </c>
      <c r="BJ67" s="29">
        <v>1808</v>
      </c>
      <c r="BK67" s="29">
        <v>1932</v>
      </c>
      <c r="BL67" s="29">
        <v>924</v>
      </c>
      <c r="BM67" s="29">
        <v>81.900000000000006</v>
      </c>
    </row>
    <row r="68" spans="1:65" x14ac:dyDescent="0.5">
      <c r="A68" s="44">
        <v>166</v>
      </c>
      <c r="B68" s="28">
        <v>16</v>
      </c>
      <c r="C68" s="28">
        <v>4.1399999999999997</v>
      </c>
      <c r="D68" s="28">
        <v>6.8000000000000005E-2</v>
      </c>
      <c r="E68" s="28">
        <v>36.4</v>
      </c>
      <c r="F68" s="28">
        <v>59.4</v>
      </c>
      <c r="G68" s="28">
        <v>64.400000000000006</v>
      </c>
      <c r="H68" s="28">
        <v>1.4E-2</v>
      </c>
      <c r="I68" s="28">
        <v>0.15</v>
      </c>
      <c r="J68" s="28">
        <v>2.41</v>
      </c>
      <c r="K68" s="28">
        <v>61.9</v>
      </c>
      <c r="L68" s="28">
        <v>22.4</v>
      </c>
      <c r="M68" s="28">
        <v>7.17</v>
      </c>
      <c r="N68" s="28">
        <v>60.1</v>
      </c>
      <c r="O68" s="28">
        <v>21.1</v>
      </c>
      <c r="P68" s="28">
        <v>11.5</v>
      </c>
      <c r="Q68" s="28">
        <v>27.8</v>
      </c>
      <c r="R68" s="28">
        <v>77.2</v>
      </c>
      <c r="S68" s="28">
        <v>1.21</v>
      </c>
      <c r="T68" s="28">
        <v>16.100000000000001</v>
      </c>
      <c r="U68" s="28">
        <v>7.03</v>
      </c>
      <c r="V68" s="28">
        <v>59.8</v>
      </c>
      <c r="W68" s="28">
        <v>4.47</v>
      </c>
      <c r="X68" s="28">
        <v>49.7</v>
      </c>
      <c r="Y68" s="28">
        <v>1.22</v>
      </c>
      <c r="Z68" s="28">
        <v>41.1</v>
      </c>
      <c r="AA68" s="28">
        <v>7.98</v>
      </c>
      <c r="AB68" s="28">
        <v>37.6</v>
      </c>
      <c r="AC68" s="28">
        <v>1.74</v>
      </c>
      <c r="AD68" s="28">
        <v>14.8</v>
      </c>
      <c r="AE68" s="28">
        <v>13.2</v>
      </c>
      <c r="AF68" s="28">
        <v>70.3</v>
      </c>
      <c r="AG68" s="28">
        <v>15</v>
      </c>
      <c r="AH68" s="28">
        <v>13.3</v>
      </c>
      <c r="AI68" s="28">
        <v>4.05</v>
      </c>
      <c r="AJ68" s="28">
        <v>53.7</v>
      </c>
      <c r="AK68" s="28">
        <v>25.1</v>
      </c>
      <c r="AL68" s="28">
        <v>31.4</v>
      </c>
      <c r="AM68" s="28">
        <v>11.3</v>
      </c>
      <c r="AN68" s="28">
        <v>0.56000000000000005</v>
      </c>
      <c r="AO68" s="28">
        <v>0.3</v>
      </c>
      <c r="AP68" s="28">
        <v>2.9</v>
      </c>
      <c r="AQ68" s="28">
        <v>1.01</v>
      </c>
      <c r="AR68" s="28">
        <v>84.7</v>
      </c>
      <c r="AS68" s="28">
        <v>14.7</v>
      </c>
      <c r="AT68" s="28">
        <v>0.64</v>
      </c>
      <c r="AU68" s="28">
        <v>79.8</v>
      </c>
      <c r="AV68" s="28">
        <v>17.100000000000001</v>
      </c>
      <c r="AW68" s="28">
        <v>33.299999999999997</v>
      </c>
      <c r="AX68" s="28">
        <v>4.12</v>
      </c>
      <c r="AY68" s="28">
        <v>49.4</v>
      </c>
      <c r="AZ68" s="28">
        <v>0.22</v>
      </c>
      <c r="BA68" s="28">
        <v>11.9</v>
      </c>
      <c r="BB68" s="28">
        <v>65.599999999999994</v>
      </c>
      <c r="BC68" s="28">
        <v>68.099999999999994</v>
      </c>
      <c r="BD68" s="28">
        <v>0.14000000000000001</v>
      </c>
      <c r="BE68" s="28">
        <v>2.2200000000000002</v>
      </c>
      <c r="BF68" s="28">
        <v>19.5</v>
      </c>
      <c r="BG68" s="28">
        <v>32</v>
      </c>
      <c r="BH68" s="28">
        <v>698</v>
      </c>
      <c r="BI68" s="28">
        <v>881</v>
      </c>
      <c r="BJ68" s="28">
        <v>735</v>
      </c>
      <c r="BK68" s="28">
        <v>1099</v>
      </c>
      <c r="BL68" s="28">
        <v>574</v>
      </c>
      <c r="BM68" s="28">
        <v>-11.2</v>
      </c>
    </row>
    <row r="69" spans="1:65" x14ac:dyDescent="0.5">
      <c r="A69" s="44">
        <v>167</v>
      </c>
      <c r="B69" s="30">
        <v>21</v>
      </c>
      <c r="C69" s="30">
        <v>2.11</v>
      </c>
      <c r="D69" s="30">
        <v>5.0999999999999997E-2</v>
      </c>
      <c r="E69" s="30">
        <v>29.6</v>
      </c>
      <c r="F69" s="30">
        <v>68.2</v>
      </c>
      <c r="G69" s="30">
        <v>71</v>
      </c>
      <c r="H69" s="30">
        <v>0.32</v>
      </c>
      <c r="I69" s="30">
        <v>1.57</v>
      </c>
      <c r="J69" s="30">
        <v>0.94</v>
      </c>
      <c r="K69" s="30">
        <v>67.8</v>
      </c>
      <c r="L69" s="30">
        <v>48.6</v>
      </c>
      <c r="M69" s="30">
        <v>9.3800000000000008</v>
      </c>
      <c r="N69" s="30">
        <v>69.099999999999994</v>
      </c>
      <c r="O69" s="30">
        <v>17.2</v>
      </c>
      <c r="P69" s="30">
        <v>3.49</v>
      </c>
      <c r="Q69" s="30">
        <v>19.399999999999999</v>
      </c>
      <c r="R69" s="30">
        <v>55.1</v>
      </c>
      <c r="S69" s="30">
        <v>8.7799999999999994</v>
      </c>
      <c r="T69" s="30">
        <v>17.2</v>
      </c>
      <c r="U69" s="30">
        <v>19</v>
      </c>
      <c r="V69" s="30">
        <v>69.3</v>
      </c>
      <c r="W69" s="30">
        <v>1.64</v>
      </c>
      <c r="X69" s="30">
        <v>46.6</v>
      </c>
      <c r="Y69" s="30">
        <v>4.25</v>
      </c>
      <c r="Z69" s="30">
        <v>22.4</v>
      </c>
      <c r="AA69" s="30">
        <v>26.7</v>
      </c>
      <c r="AB69" s="30">
        <v>16.8</v>
      </c>
      <c r="AC69" s="30">
        <v>7.01</v>
      </c>
      <c r="AD69" s="30">
        <v>13.1</v>
      </c>
      <c r="AE69" s="30">
        <v>30.1</v>
      </c>
      <c r="AF69" s="30">
        <v>49.7</v>
      </c>
      <c r="AG69" s="30">
        <v>7.81</v>
      </c>
      <c r="AH69" s="30">
        <v>7.91</v>
      </c>
      <c r="AI69" s="30">
        <v>61.6</v>
      </c>
      <c r="AJ69" s="30">
        <v>20</v>
      </c>
      <c r="AK69" s="30">
        <v>1.55</v>
      </c>
      <c r="AL69" s="30">
        <v>1.84</v>
      </c>
      <c r="AM69" s="30">
        <v>5.78</v>
      </c>
      <c r="AN69" s="30">
        <v>0.91</v>
      </c>
      <c r="AO69" s="30">
        <v>2.81</v>
      </c>
      <c r="AP69" s="30">
        <v>44.9</v>
      </c>
      <c r="AQ69" s="30">
        <v>29</v>
      </c>
      <c r="AR69" s="30">
        <v>57.9</v>
      </c>
      <c r="AS69" s="30">
        <v>38.299999999999997</v>
      </c>
      <c r="AT69" s="30">
        <v>3.58</v>
      </c>
      <c r="AU69" s="30">
        <v>15.4</v>
      </c>
      <c r="AV69" s="30">
        <v>7.83</v>
      </c>
      <c r="AW69" s="30">
        <v>77.8</v>
      </c>
      <c r="AX69" s="30">
        <v>5.44</v>
      </c>
      <c r="AY69" s="30">
        <v>8.98</v>
      </c>
      <c r="AZ69" s="30">
        <v>3.64</v>
      </c>
      <c r="BA69" s="30">
        <v>18.2</v>
      </c>
      <c r="BB69" s="30">
        <v>66.3</v>
      </c>
      <c r="BC69" s="30">
        <v>75.599999999999994</v>
      </c>
      <c r="BD69" s="30">
        <v>0.59</v>
      </c>
      <c r="BE69" s="30">
        <v>2.1800000000000002</v>
      </c>
      <c r="BF69" s="30">
        <v>6.91</v>
      </c>
      <c r="BG69" s="30">
        <v>-52</v>
      </c>
      <c r="BH69" s="30">
        <v>262</v>
      </c>
      <c r="BI69" s="30">
        <v>316</v>
      </c>
      <c r="BJ69" s="30">
        <v>400</v>
      </c>
      <c r="BK69" s="30">
        <v>819</v>
      </c>
      <c r="BL69" s="30">
        <v>464</v>
      </c>
      <c r="BM69" s="30">
        <v>21.2</v>
      </c>
    </row>
    <row r="70" spans="1:65" x14ac:dyDescent="0.5">
      <c r="A70" s="44">
        <v>168</v>
      </c>
      <c r="B70" s="29">
        <v>5.56</v>
      </c>
      <c r="C70" s="29">
        <v>4.8600000000000003</v>
      </c>
      <c r="D70" s="29">
        <v>1.9E-2</v>
      </c>
      <c r="E70" s="29">
        <v>47.6</v>
      </c>
      <c r="F70" s="29">
        <v>47.5</v>
      </c>
      <c r="G70" s="29">
        <v>47.7</v>
      </c>
      <c r="H70" s="29">
        <v>2.5000000000000001E-2</v>
      </c>
      <c r="I70" s="29">
        <v>0.62</v>
      </c>
      <c r="J70" s="29">
        <v>0.23</v>
      </c>
      <c r="K70" s="29">
        <v>47.1</v>
      </c>
      <c r="L70" s="29">
        <v>25</v>
      </c>
      <c r="M70" s="29">
        <v>6.59</v>
      </c>
      <c r="N70" s="29">
        <v>25.2</v>
      </c>
      <c r="O70" s="29">
        <v>55.8</v>
      </c>
      <c r="P70" s="29">
        <v>9.86</v>
      </c>
      <c r="Q70" s="29">
        <v>53.4</v>
      </c>
      <c r="R70" s="29">
        <v>32</v>
      </c>
      <c r="S70" s="29">
        <v>21.8</v>
      </c>
      <c r="T70" s="29">
        <v>14.6</v>
      </c>
      <c r="U70" s="29">
        <v>19.100000000000001</v>
      </c>
      <c r="V70" s="29">
        <v>27.2</v>
      </c>
      <c r="W70" s="29">
        <v>11.9</v>
      </c>
      <c r="X70" s="29">
        <v>29.5</v>
      </c>
      <c r="Y70" s="29">
        <v>13.5</v>
      </c>
      <c r="Z70" s="29">
        <v>37.799999999999997</v>
      </c>
      <c r="AA70" s="29">
        <v>19.2</v>
      </c>
      <c r="AB70" s="29">
        <v>20.9</v>
      </c>
      <c r="AC70" s="29">
        <v>10.4</v>
      </c>
      <c r="AD70" s="29">
        <v>27.8</v>
      </c>
      <c r="AE70" s="29">
        <v>34.200000000000003</v>
      </c>
      <c r="AF70" s="29">
        <v>27.6</v>
      </c>
      <c r="AG70" s="29">
        <v>43</v>
      </c>
      <c r="AH70" s="29">
        <v>2.29</v>
      </c>
      <c r="AI70" s="29">
        <v>5.54</v>
      </c>
      <c r="AJ70" s="29">
        <v>81</v>
      </c>
      <c r="AK70" s="29">
        <v>10.4</v>
      </c>
      <c r="AL70" s="29">
        <v>3.15</v>
      </c>
      <c r="AM70" s="29">
        <v>27</v>
      </c>
      <c r="AN70" s="29">
        <v>0.23</v>
      </c>
      <c r="AO70" s="29">
        <v>0.5</v>
      </c>
      <c r="AP70" s="29">
        <v>2.21</v>
      </c>
      <c r="AQ70" s="29">
        <v>0.59</v>
      </c>
      <c r="AR70" s="29">
        <v>81.400000000000006</v>
      </c>
      <c r="AS70" s="29">
        <v>18.100000000000001</v>
      </c>
      <c r="AT70" s="29">
        <v>0.46</v>
      </c>
      <c r="AU70" s="29">
        <v>86.9</v>
      </c>
      <c r="AV70" s="29">
        <v>11.3</v>
      </c>
      <c r="AW70" s="29">
        <v>57.4</v>
      </c>
      <c r="AX70" s="29">
        <v>2.7</v>
      </c>
      <c r="AY70" s="29">
        <v>28.8</v>
      </c>
      <c r="AZ70" s="29">
        <v>1.85</v>
      </c>
      <c r="BA70" s="29">
        <v>10.3</v>
      </c>
      <c r="BB70" s="29">
        <v>76.900000000000006</v>
      </c>
      <c r="BC70" s="29">
        <v>80.400000000000006</v>
      </c>
      <c r="BD70" s="29">
        <v>7.93</v>
      </c>
      <c r="BE70" s="29">
        <v>4.8499999999999996</v>
      </c>
      <c r="BF70" s="29">
        <v>16.100000000000001</v>
      </c>
      <c r="BG70" s="29">
        <v>-54.2</v>
      </c>
      <c r="BH70" s="29">
        <v>356</v>
      </c>
      <c r="BI70" s="29">
        <v>322</v>
      </c>
      <c r="BJ70" s="29">
        <v>379</v>
      </c>
      <c r="BK70" s="29">
        <v>473</v>
      </c>
      <c r="BL70" s="29">
        <v>170</v>
      </c>
      <c r="BM70" s="29">
        <v>-11.5</v>
      </c>
    </row>
    <row r="71" spans="1:65" x14ac:dyDescent="0.5">
      <c r="A71" s="44">
        <v>169</v>
      </c>
      <c r="B71" s="28">
        <v>2.0099999999999998</v>
      </c>
      <c r="C71" s="28">
        <v>12.9</v>
      </c>
      <c r="D71" s="28">
        <v>5.6000000000000001E-2</v>
      </c>
      <c r="E71" s="28">
        <v>59</v>
      </c>
      <c r="F71" s="28">
        <v>28</v>
      </c>
      <c r="G71" s="28">
        <v>68.3</v>
      </c>
      <c r="H71" s="34">
        <v>5.2900000000000004E-3</v>
      </c>
      <c r="I71" s="28">
        <v>1.26</v>
      </c>
      <c r="J71" s="28">
        <v>5.83</v>
      </c>
      <c r="K71" s="28">
        <v>61.6</v>
      </c>
      <c r="L71" s="28">
        <v>32.799999999999997</v>
      </c>
      <c r="M71" s="28">
        <v>11.9</v>
      </c>
      <c r="N71" s="28">
        <v>42.3</v>
      </c>
      <c r="O71" s="28">
        <v>21.5</v>
      </c>
      <c r="P71" s="28">
        <v>22.9</v>
      </c>
      <c r="Q71" s="28">
        <v>38.4</v>
      </c>
      <c r="R71" s="28">
        <v>63.7</v>
      </c>
      <c r="S71" s="28">
        <v>2.39</v>
      </c>
      <c r="T71" s="28">
        <v>27.1</v>
      </c>
      <c r="U71" s="28">
        <v>4.05</v>
      </c>
      <c r="V71" s="28">
        <v>42</v>
      </c>
      <c r="W71" s="28">
        <v>6.98</v>
      </c>
      <c r="X71" s="28">
        <v>48.8</v>
      </c>
      <c r="Y71" s="28">
        <v>0.42</v>
      </c>
      <c r="Z71" s="28">
        <v>49.8</v>
      </c>
      <c r="AA71" s="28">
        <v>0.96</v>
      </c>
      <c r="AB71" s="28">
        <v>27.5</v>
      </c>
      <c r="AC71" s="28">
        <v>2.19</v>
      </c>
      <c r="AD71" s="28">
        <v>23.2</v>
      </c>
      <c r="AE71" s="28">
        <v>23.1</v>
      </c>
      <c r="AF71" s="28">
        <v>51.4</v>
      </c>
      <c r="AG71" s="28">
        <v>26.7</v>
      </c>
      <c r="AH71" s="28">
        <v>9.2100000000000009</v>
      </c>
      <c r="AI71" s="28">
        <v>13</v>
      </c>
      <c r="AJ71" s="28">
        <v>69.2</v>
      </c>
      <c r="AK71" s="28">
        <v>6.54</v>
      </c>
      <c r="AL71" s="28">
        <v>10.5</v>
      </c>
      <c r="AM71" s="28">
        <v>37.5</v>
      </c>
      <c r="AN71" s="28">
        <v>0.4</v>
      </c>
      <c r="AO71" s="28">
        <v>2.0099999999999998</v>
      </c>
      <c r="AP71" s="28">
        <v>2.72</v>
      </c>
      <c r="AQ71" s="28">
        <v>2.4700000000000002</v>
      </c>
      <c r="AR71" s="28">
        <v>94.6</v>
      </c>
      <c r="AS71" s="28">
        <v>3.11</v>
      </c>
      <c r="AT71" s="28">
        <v>1.1499999999999999</v>
      </c>
      <c r="AU71" s="28">
        <v>95.6</v>
      </c>
      <c r="AV71" s="28">
        <v>0.34</v>
      </c>
      <c r="AW71" s="28">
        <v>35</v>
      </c>
      <c r="AX71" s="28">
        <v>9.76</v>
      </c>
      <c r="AY71" s="28">
        <v>47.8</v>
      </c>
      <c r="AZ71" s="28">
        <v>0.82</v>
      </c>
      <c r="BA71" s="28">
        <v>18.8</v>
      </c>
      <c r="BB71" s="28">
        <v>64.2</v>
      </c>
      <c r="BC71" s="28">
        <v>66.099999999999994</v>
      </c>
      <c r="BD71" s="28">
        <v>0.2</v>
      </c>
      <c r="BE71" s="28">
        <v>3.93</v>
      </c>
      <c r="BF71" s="28">
        <v>26.2</v>
      </c>
      <c r="BG71" s="28">
        <v>36.200000000000003</v>
      </c>
      <c r="BH71" s="28">
        <v>842</v>
      </c>
      <c r="BI71" s="28">
        <v>917</v>
      </c>
      <c r="BJ71" s="28">
        <v>628</v>
      </c>
      <c r="BK71" s="28">
        <v>907</v>
      </c>
      <c r="BL71" s="28">
        <v>291</v>
      </c>
      <c r="BM71" s="28">
        <v>0.7</v>
      </c>
    </row>
    <row r="72" spans="1:65" x14ac:dyDescent="0.5">
      <c r="A72" s="44">
        <v>170</v>
      </c>
      <c r="B72" s="28">
        <v>3.49</v>
      </c>
      <c r="C72" s="28">
        <v>20.9</v>
      </c>
      <c r="D72" s="28">
        <v>0.7</v>
      </c>
      <c r="E72" s="28">
        <v>56.3</v>
      </c>
      <c r="F72" s="28">
        <v>22.1</v>
      </c>
      <c r="G72" s="28">
        <v>88.1</v>
      </c>
      <c r="H72" s="28">
        <v>1.2999999999999999E-2</v>
      </c>
      <c r="I72" s="28">
        <v>0.4</v>
      </c>
      <c r="J72" s="28">
        <v>2.89</v>
      </c>
      <c r="K72" s="28">
        <v>84.8</v>
      </c>
      <c r="L72" s="28">
        <v>33.1</v>
      </c>
      <c r="M72" s="28">
        <v>4.79</v>
      </c>
      <c r="N72" s="28">
        <v>38.4</v>
      </c>
      <c r="O72" s="28">
        <v>16</v>
      </c>
      <c r="P72" s="28">
        <v>38.700000000000003</v>
      </c>
      <c r="Q72" s="28">
        <v>51.4</v>
      </c>
      <c r="R72" s="28">
        <v>68</v>
      </c>
      <c r="S72" s="28">
        <v>0.79</v>
      </c>
      <c r="T72" s="28">
        <v>29.8</v>
      </c>
      <c r="U72" s="28">
        <v>1.72</v>
      </c>
      <c r="V72" s="28">
        <v>34.200000000000003</v>
      </c>
      <c r="W72" s="28">
        <v>4.8</v>
      </c>
      <c r="X72" s="28">
        <v>43.4</v>
      </c>
      <c r="Y72" s="28">
        <v>0.34</v>
      </c>
      <c r="Z72" s="28">
        <v>53</v>
      </c>
      <c r="AA72" s="28">
        <v>3.21</v>
      </c>
      <c r="AB72" s="28">
        <v>50.6</v>
      </c>
      <c r="AC72" s="28">
        <v>1.35</v>
      </c>
      <c r="AD72" s="28">
        <v>17.8</v>
      </c>
      <c r="AE72" s="28">
        <v>50.6</v>
      </c>
      <c r="AF72" s="28">
        <v>30.1</v>
      </c>
      <c r="AG72" s="28">
        <v>7.1</v>
      </c>
      <c r="AH72" s="28">
        <v>19.8</v>
      </c>
      <c r="AI72" s="28">
        <v>15.9</v>
      </c>
      <c r="AJ72" s="28">
        <v>51.7</v>
      </c>
      <c r="AK72" s="28">
        <v>7.59</v>
      </c>
      <c r="AL72" s="28">
        <v>14</v>
      </c>
      <c r="AM72" s="28">
        <v>34.799999999999997</v>
      </c>
      <c r="AN72" s="28">
        <v>2.5099999999999998</v>
      </c>
      <c r="AO72" s="28">
        <v>1.51</v>
      </c>
      <c r="AP72" s="28">
        <v>9.4</v>
      </c>
      <c r="AQ72" s="28">
        <v>3.04</v>
      </c>
      <c r="AR72" s="28">
        <v>97.9</v>
      </c>
      <c r="AS72" s="28">
        <v>0.08</v>
      </c>
      <c r="AT72" s="28">
        <v>0.52</v>
      </c>
      <c r="AU72" s="28">
        <v>95.1</v>
      </c>
      <c r="AV72" s="28">
        <v>4.4999999999999998E-2</v>
      </c>
      <c r="AW72" s="28">
        <v>25.1</v>
      </c>
      <c r="AX72" s="28">
        <v>28.2</v>
      </c>
      <c r="AY72" s="28">
        <v>43.4</v>
      </c>
      <c r="AZ72" s="28">
        <v>2.67</v>
      </c>
      <c r="BA72" s="28">
        <v>20.5</v>
      </c>
      <c r="BB72" s="28">
        <v>84.3</v>
      </c>
      <c r="BC72" s="28">
        <v>78</v>
      </c>
      <c r="BD72" s="28">
        <v>0.38</v>
      </c>
      <c r="BE72" s="28">
        <v>3.27</v>
      </c>
      <c r="BF72" s="28">
        <v>60.9</v>
      </c>
      <c r="BG72" s="28">
        <v>140</v>
      </c>
      <c r="BH72" s="28">
        <v>631</v>
      </c>
      <c r="BI72" s="28">
        <v>754</v>
      </c>
      <c r="BJ72" s="28">
        <v>515</v>
      </c>
      <c r="BK72" s="28">
        <v>500</v>
      </c>
      <c r="BL72" s="28">
        <v>171</v>
      </c>
      <c r="BM72" s="28">
        <v>43.9</v>
      </c>
    </row>
    <row r="73" spans="1:65" x14ac:dyDescent="0.5">
      <c r="A73" s="44">
        <v>171</v>
      </c>
      <c r="B73" s="28">
        <v>26.8</v>
      </c>
      <c r="C73" s="28">
        <v>17</v>
      </c>
      <c r="D73" s="28">
        <v>0.92</v>
      </c>
      <c r="E73" s="28">
        <v>53.2</v>
      </c>
      <c r="F73" s="28">
        <v>28.9</v>
      </c>
      <c r="G73" s="28">
        <v>57.9</v>
      </c>
      <c r="H73" s="34">
        <v>4.47E-3</v>
      </c>
      <c r="I73" s="28">
        <v>0.43</v>
      </c>
      <c r="J73" s="28">
        <v>0.5</v>
      </c>
      <c r="K73" s="28">
        <v>56.8</v>
      </c>
      <c r="L73" s="28">
        <v>38.299999999999997</v>
      </c>
      <c r="M73" s="28">
        <v>13.2</v>
      </c>
      <c r="N73" s="28">
        <v>13.1</v>
      </c>
      <c r="O73" s="28">
        <v>49.6</v>
      </c>
      <c r="P73" s="28">
        <v>22.6</v>
      </c>
      <c r="Q73" s="28">
        <v>68.2</v>
      </c>
      <c r="R73" s="28">
        <v>81.8</v>
      </c>
      <c r="S73" s="28">
        <v>0.75</v>
      </c>
      <c r="T73" s="28">
        <v>29.5</v>
      </c>
      <c r="U73" s="28">
        <v>4.5199999999999996</v>
      </c>
      <c r="V73" s="28">
        <v>6.7</v>
      </c>
      <c r="W73" s="28">
        <v>4.83</v>
      </c>
      <c r="X73" s="28">
        <v>60.3</v>
      </c>
      <c r="Y73" s="28">
        <v>1.01</v>
      </c>
      <c r="Z73" s="28">
        <v>33.1</v>
      </c>
      <c r="AA73" s="28">
        <v>5.55</v>
      </c>
      <c r="AB73" s="28">
        <v>15.5</v>
      </c>
      <c r="AC73" s="28">
        <v>8.26</v>
      </c>
      <c r="AD73" s="28">
        <v>30.7</v>
      </c>
      <c r="AE73" s="28">
        <v>55.5</v>
      </c>
      <c r="AF73" s="28">
        <v>5.42</v>
      </c>
      <c r="AG73" s="28">
        <v>10.1</v>
      </c>
      <c r="AH73" s="28">
        <v>10.199999999999999</v>
      </c>
      <c r="AI73" s="28">
        <v>9.74</v>
      </c>
      <c r="AJ73" s="28">
        <v>47.4</v>
      </c>
      <c r="AK73" s="28">
        <v>30</v>
      </c>
      <c r="AL73" s="28">
        <v>24.1</v>
      </c>
      <c r="AM73" s="28">
        <v>41.2</v>
      </c>
      <c r="AN73" s="28">
        <v>2.27</v>
      </c>
      <c r="AO73" s="28">
        <v>1.2</v>
      </c>
      <c r="AP73" s="28">
        <v>1.79</v>
      </c>
      <c r="AQ73" s="28">
        <v>0.7</v>
      </c>
      <c r="AR73" s="28">
        <v>83.9</v>
      </c>
      <c r="AS73" s="28">
        <v>12.9</v>
      </c>
      <c r="AT73" s="28">
        <v>3.04</v>
      </c>
      <c r="AU73" s="28">
        <v>95.5</v>
      </c>
      <c r="AV73" s="28">
        <v>2.68</v>
      </c>
      <c r="AW73" s="28">
        <v>13.8</v>
      </c>
      <c r="AX73" s="28">
        <v>9.61</v>
      </c>
      <c r="AY73" s="28">
        <v>70.900000000000006</v>
      </c>
      <c r="AZ73" s="28">
        <v>5.81</v>
      </c>
      <c r="BA73" s="28">
        <v>3.12</v>
      </c>
      <c r="BB73" s="28">
        <v>35.6</v>
      </c>
      <c r="BC73" s="28">
        <v>86.2</v>
      </c>
      <c r="BD73" s="28">
        <v>1.9</v>
      </c>
      <c r="BE73" s="28">
        <v>4.6500000000000004</v>
      </c>
      <c r="BF73" s="28">
        <v>53</v>
      </c>
      <c r="BG73" s="28">
        <v>548</v>
      </c>
      <c r="BH73" s="28">
        <v>544</v>
      </c>
      <c r="BI73" s="28">
        <v>695</v>
      </c>
      <c r="BJ73" s="28">
        <v>334</v>
      </c>
      <c r="BK73" s="28">
        <v>731</v>
      </c>
      <c r="BL73" s="28">
        <v>170</v>
      </c>
      <c r="BM73" s="28">
        <v>234</v>
      </c>
    </row>
    <row r="74" spans="1:65" x14ac:dyDescent="0.5">
      <c r="A74" s="44">
        <v>172</v>
      </c>
      <c r="B74" s="39">
        <v>10.4</v>
      </c>
      <c r="C74" s="39">
        <v>7.92</v>
      </c>
      <c r="D74" s="39">
        <v>0.24</v>
      </c>
      <c r="E74" s="39">
        <v>47.2</v>
      </c>
      <c r="F74" s="39">
        <v>44.7</v>
      </c>
      <c r="G74" s="39">
        <v>86.1</v>
      </c>
      <c r="H74" s="39">
        <v>0.03</v>
      </c>
      <c r="I74" s="39">
        <v>0.49</v>
      </c>
      <c r="J74" s="39">
        <v>4.8600000000000003</v>
      </c>
      <c r="K74" s="39">
        <v>80.5</v>
      </c>
      <c r="L74" s="39">
        <v>40.799999999999997</v>
      </c>
      <c r="M74" s="39">
        <v>5.81</v>
      </c>
      <c r="N74" s="39">
        <v>68.400000000000006</v>
      </c>
      <c r="O74" s="39">
        <v>16.2</v>
      </c>
      <c r="P74" s="39">
        <v>8.5399999999999991</v>
      </c>
      <c r="Q74" s="39">
        <v>23.7</v>
      </c>
      <c r="R74" s="39">
        <v>35.4</v>
      </c>
      <c r="S74" s="39">
        <v>15.7</v>
      </c>
      <c r="T74" s="39">
        <v>13</v>
      </c>
      <c r="U74" s="39">
        <v>18.3</v>
      </c>
      <c r="V74" s="39">
        <v>67.7</v>
      </c>
      <c r="W74" s="39">
        <v>1.78</v>
      </c>
      <c r="X74" s="39">
        <v>24.4</v>
      </c>
      <c r="Y74" s="39">
        <v>14.2</v>
      </c>
      <c r="Z74" s="39">
        <v>40.299999999999997</v>
      </c>
      <c r="AA74" s="39">
        <v>21.1</v>
      </c>
      <c r="AB74" s="39">
        <v>37.799999999999997</v>
      </c>
      <c r="AC74" s="39">
        <v>2.1800000000000002</v>
      </c>
      <c r="AD74" s="39">
        <v>26.3</v>
      </c>
      <c r="AE74" s="39">
        <v>22</v>
      </c>
      <c r="AF74" s="39">
        <v>49.5</v>
      </c>
      <c r="AG74" s="39">
        <v>1.1599999999999999</v>
      </c>
      <c r="AH74" s="39">
        <v>9.44</v>
      </c>
      <c r="AI74" s="39">
        <v>20.399999999999999</v>
      </c>
      <c r="AJ74" s="39">
        <v>57.5</v>
      </c>
      <c r="AK74" s="39">
        <v>9.59</v>
      </c>
      <c r="AL74" s="39">
        <v>51.4</v>
      </c>
      <c r="AM74" s="39">
        <v>25.5</v>
      </c>
      <c r="AN74" s="39">
        <v>52.4</v>
      </c>
      <c r="AO74" s="39">
        <v>1.22</v>
      </c>
      <c r="AP74" s="39">
        <v>84.7</v>
      </c>
      <c r="AQ74" s="39">
        <v>0</v>
      </c>
      <c r="AR74" s="39">
        <v>93.1</v>
      </c>
      <c r="AS74" s="39">
        <v>0.2</v>
      </c>
      <c r="AT74" s="39">
        <v>0.97</v>
      </c>
      <c r="AU74" s="39">
        <v>94.2</v>
      </c>
      <c r="AV74" s="39">
        <v>0</v>
      </c>
      <c r="AW74" s="39">
        <v>15.9</v>
      </c>
      <c r="AX74" s="39">
        <v>61.7</v>
      </c>
      <c r="AY74" s="39">
        <v>21.7</v>
      </c>
      <c r="AZ74" s="39">
        <v>0.3</v>
      </c>
      <c r="BA74" s="39">
        <v>7.32</v>
      </c>
      <c r="BB74" s="39">
        <v>50</v>
      </c>
      <c r="BC74" s="39">
        <v>39.1</v>
      </c>
      <c r="BD74" s="39">
        <v>0.28000000000000003</v>
      </c>
      <c r="BE74" s="39">
        <v>5.78</v>
      </c>
      <c r="BF74" s="39">
        <v>14.3</v>
      </c>
      <c r="BG74" s="39">
        <v>-91.8</v>
      </c>
      <c r="BH74" s="39">
        <v>265</v>
      </c>
      <c r="BI74" s="39">
        <v>278</v>
      </c>
      <c r="BJ74" s="39">
        <v>358</v>
      </c>
      <c r="BK74" s="39">
        <v>1098</v>
      </c>
      <c r="BL74" s="39">
        <v>466</v>
      </c>
      <c r="BM74" s="39">
        <v>5.52</v>
      </c>
    </row>
    <row r="75" spans="1:65" x14ac:dyDescent="0.5">
      <c r="A75" s="44">
        <v>173</v>
      </c>
      <c r="B75" s="30">
        <v>35.700000000000003</v>
      </c>
      <c r="C75" s="30">
        <v>1.45</v>
      </c>
      <c r="D75" s="30">
        <v>1.04</v>
      </c>
      <c r="E75" s="30">
        <v>26.4</v>
      </c>
      <c r="F75" s="30">
        <v>70.8</v>
      </c>
      <c r="G75" s="30">
        <v>47.2</v>
      </c>
      <c r="H75" s="30">
        <v>6.6000000000000003E-2</v>
      </c>
      <c r="I75" s="30">
        <v>4.72</v>
      </c>
      <c r="J75" s="30">
        <v>0.74</v>
      </c>
      <c r="K75" s="30">
        <v>44</v>
      </c>
      <c r="L75" s="30">
        <v>34</v>
      </c>
      <c r="M75" s="30">
        <v>12.6</v>
      </c>
      <c r="N75" s="30">
        <v>40.5</v>
      </c>
      <c r="O75" s="30">
        <v>33.6</v>
      </c>
      <c r="P75" s="30">
        <v>9.9600000000000009</v>
      </c>
      <c r="Q75" s="30">
        <v>35.200000000000003</v>
      </c>
      <c r="R75" s="30">
        <v>51.3</v>
      </c>
      <c r="S75" s="30">
        <v>4.82</v>
      </c>
      <c r="T75" s="30">
        <v>36.299999999999997</v>
      </c>
      <c r="U75" s="30">
        <v>7.62</v>
      </c>
      <c r="V75" s="30">
        <v>38.1</v>
      </c>
      <c r="W75" s="30">
        <v>8.08</v>
      </c>
      <c r="X75" s="30">
        <v>45</v>
      </c>
      <c r="Y75" s="30">
        <v>5.36</v>
      </c>
      <c r="Z75" s="30">
        <v>40</v>
      </c>
      <c r="AA75" s="30">
        <v>9.66</v>
      </c>
      <c r="AB75" s="30">
        <v>8.57</v>
      </c>
      <c r="AC75" s="30">
        <v>10.199999999999999</v>
      </c>
      <c r="AD75" s="30">
        <v>9.33</v>
      </c>
      <c r="AE75" s="30">
        <v>52</v>
      </c>
      <c r="AF75" s="30">
        <v>22</v>
      </c>
      <c r="AG75" s="30">
        <v>3.88</v>
      </c>
      <c r="AH75" s="30">
        <v>7.42</v>
      </c>
      <c r="AI75" s="30">
        <v>6.77</v>
      </c>
      <c r="AJ75" s="30">
        <v>26.1</v>
      </c>
      <c r="AK75" s="30">
        <v>56.9</v>
      </c>
      <c r="AL75" s="30">
        <v>51.3</v>
      </c>
      <c r="AM75" s="30">
        <v>31.5</v>
      </c>
      <c r="AN75" s="30">
        <v>1.82</v>
      </c>
      <c r="AO75" s="30">
        <v>1.27</v>
      </c>
      <c r="AP75" s="30">
        <v>0.72</v>
      </c>
      <c r="AQ75" s="30">
        <v>4.3999999999999997E-2</v>
      </c>
      <c r="AR75" s="30">
        <v>90.3</v>
      </c>
      <c r="AS75" s="30">
        <v>5.14</v>
      </c>
      <c r="AT75" s="30">
        <v>4.07</v>
      </c>
      <c r="AU75" s="30">
        <v>92.5</v>
      </c>
      <c r="AV75" s="30">
        <v>6.35</v>
      </c>
      <c r="AW75" s="30">
        <v>2.0299999999999998</v>
      </c>
      <c r="AX75" s="30">
        <v>6</v>
      </c>
      <c r="AY75" s="30">
        <v>91.8</v>
      </c>
      <c r="AZ75" s="30">
        <v>5.34</v>
      </c>
      <c r="BA75" s="30">
        <v>14.3</v>
      </c>
      <c r="BB75" s="30">
        <v>40</v>
      </c>
      <c r="BC75" s="30">
        <v>79.2</v>
      </c>
      <c r="BD75" s="30">
        <v>2.06</v>
      </c>
      <c r="BE75" s="30">
        <v>6.74</v>
      </c>
      <c r="BF75" s="30">
        <v>24.6</v>
      </c>
      <c r="BG75" s="30">
        <v>36</v>
      </c>
      <c r="BH75" s="30">
        <v>428</v>
      </c>
      <c r="BI75" s="30">
        <v>463</v>
      </c>
      <c r="BJ75" s="30">
        <v>246</v>
      </c>
      <c r="BK75" s="30">
        <v>509</v>
      </c>
      <c r="BL75" s="30">
        <v>17.100000000000001</v>
      </c>
      <c r="BM75" s="30">
        <v>23.4</v>
      </c>
    </row>
    <row r="76" spans="1:65" x14ac:dyDescent="0.5">
      <c r="A76" s="44">
        <v>174</v>
      </c>
      <c r="B76" s="30">
        <v>3.64</v>
      </c>
      <c r="C76" s="30">
        <v>5.59</v>
      </c>
      <c r="D76" s="30">
        <v>0.31</v>
      </c>
      <c r="E76" s="30">
        <v>52.6</v>
      </c>
      <c r="F76" s="30">
        <v>41.4</v>
      </c>
      <c r="G76" s="30">
        <v>76.5</v>
      </c>
      <c r="H76" s="30">
        <v>4.8000000000000001E-2</v>
      </c>
      <c r="I76" s="30">
        <v>1.5</v>
      </c>
      <c r="J76" s="30">
        <v>2.82</v>
      </c>
      <c r="K76" s="30">
        <v>72.099999999999994</v>
      </c>
      <c r="L76" s="30">
        <v>42</v>
      </c>
      <c r="M76" s="30">
        <v>8.82</v>
      </c>
      <c r="N76" s="30">
        <v>57.4</v>
      </c>
      <c r="O76" s="30">
        <v>23.8</v>
      </c>
      <c r="P76" s="30">
        <v>5.36</v>
      </c>
      <c r="Q76" s="30">
        <v>28.2</v>
      </c>
      <c r="R76" s="30">
        <v>67.5</v>
      </c>
      <c r="S76" s="30">
        <v>3.61</v>
      </c>
      <c r="T76" s="30">
        <v>11</v>
      </c>
      <c r="U76" s="30">
        <v>17.899999999999999</v>
      </c>
      <c r="V76" s="30">
        <v>60.8</v>
      </c>
      <c r="W76" s="30">
        <v>4.3899999999999997</v>
      </c>
      <c r="X76" s="30">
        <v>62.8</v>
      </c>
      <c r="Y76" s="30">
        <v>3.5</v>
      </c>
      <c r="Z76" s="30">
        <v>19.399999999999999</v>
      </c>
      <c r="AA76" s="30">
        <v>14.3</v>
      </c>
      <c r="AB76" s="30">
        <v>27.4</v>
      </c>
      <c r="AC76" s="30">
        <v>2.14</v>
      </c>
      <c r="AD76" s="30">
        <v>2.23</v>
      </c>
      <c r="AE76" s="30">
        <v>5.25</v>
      </c>
      <c r="AF76" s="30">
        <v>88.2</v>
      </c>
      <c r="AG76" s="30">
        <v>11.6</v>
      </c>
      <c r="AH76" s="30">
        <v>38.299999999999997</v>
      </c>
      <c r="AI76" s="30">
        <v>15.7</v>
      </c>
      <c r="AJ76" s="30">
        <v>29.5</v>
      </c>
      <c r="AK76" s="30">
        <v>12.9</v>
      </c>
      <c r="AL76" s="30">
        <v>16.7</v>
      </c>
      <c r="AM76" s="30">
        <v>21.4</v>
      </c>
      <c r="AN76" s="30">
        <v>2.0499999999999998</v>
      </c>
      <c r="AO76" s="30">
        <v>5.72</v>
      </c>
      <c r="AP76" s="30">
        <v>1.4</v>
      </c>
      <c r="AQ76" s="30">
        <v>1.1399999999999999</v>
      </c>
      <c r="AR76" s="30">
        <v>77</v>
      </c>
      <c r="AS76" s="30">
        <v>14.5</v>
      </c>
      <c r="AT76" s="30">
        <v>0.7</v>
      </c>
      <c r="AU76" s="30">
        <v>83.9</v>
      </c>
      <c r="AV76" s="30">
        <v>14.4</v>
      </c>
      <c r="AW76" s="30">
        <v>38.1</v>
      </c>
      <c r="AX76" s="30">
        <v>7.2</v>
      </c>
      <c r="AY76" s="30">
        <v>46.3</v>
      </c>
      <c r="AZ76" s="30">
        <v>4.21</v>
      </c>
      <c r="BA76" s="30">
        <v>30.8</v>
      </c>
      <c r="BB76" s="30">
        <v>67.599999999999994</v>
      </c>
      <c r="BC76" s="30">
        <v>79.8</v>
      </c>
      <c r="BD76" s="30">
        <v>2.0099999999999998</v>
      </c>
      <c r="BE76" s="30">
        <v>4.9800000000000004</v>
      </c>
      <c r="BF76" s="30">
        <v>9.31</v>
      </c>
      <c r="BG76" s="30">
        <v>-44.3</v>
      </c>
      <c r="BH76" s="30">
        <v>421</v>
      </c>
      <c r="BI76" s="30">
        <v>337</v>
      </c>
      <c r="BJ76" s="30">
        <v>531</v>
      </c>
      <c r="BK76" s="30">
        <v>1037</v>
      </c>
      <c r="BL76" s="30">
        <v>663</v>
      </c>
      <c r="BM76" s="30">
        <v>12.4</v>
      </c>
    </row>
    <row r="77" spans="1:65" x14ac:dyDescent="0.5">
      <c r="A77" s="44">
        <v>175</v>
      </c>
      <c r="B77" s="30">
        <v>19.8</v>
      </c>
      <c r="C77" s="30">
        <v>19.399999999999999</v>
      </c>
      <c r="D77" s="30">
        <v>0.65</v>
      </c>
      <c r="E77" s="30">
        <v>42.4</v>
      </c>
      <c r="F77" s="30">
        <v>37.299999999999997</v>
      </c>
      <c r="G77" s="30">
        <v>62</v>
      </c>
      <c r="H77" s="30">
        <v>5.2999999999999999E-2</v>
      </c>
      <c r="I77" s="30">
        <v>0.16</v>
      </c>
      <c r="J77" s="30">
        <v>1.23</v>
      </c>
      <c r="K77" s="30">
        <v>59.4</v>
      </c>
      <c r="L77" s="30">
        <v>38.700000000000003</v>
      </c>
      <c r="M77" s="30">
        <v>6.53</v>
      </c>
      <c r="N77" s="30">
        <v>52.8</v>
      </c>
      <c r="O77" s="30">
        <v>24.6</v>
      </c>
      <c r="P77" s="30">
        <v>11.1</v>
      </c>
      <c r="Q77" s="30">
        <v>32.1</v>
      </c>
      <c r="R77" s="30">
        <v>57.3</v>
      </c>
      <c r="S77" s="30">
        <v>4.2699999999999996</v>
      </c>
      <c r="T77" s="30">
        <v>23.5</v>
      </c>
      <c r="U77" s="30">
        <v>15</v>
      </c>
      <c r="V77" s="30">
        <v>55</v>
      </c>
      <c r="W77" s="30">
        <v>6.83</v>
      </c>
      <c r="X77" s="30">
        <v>30</v>
      </c>
      <c r="Y77" s="30">
        <v>9.26</v>
      </c>
      <c r="Z77" s="30">
        <v>35.200000000000003</v>
      </c>
      <c r="AA77" s="30">
        <v>25.5</v>
      </c>
      <c r="AB77" s="30">
        <v>18.600000000000001</v>
      </c>
      <c r="AC77" s="30">
        <v>7.99</v>
      </c>
      <c r="AD77" s="30">
        <v>5.46</v>
      </c>
      <c r="AE77" s="30">
        <v>14.6</v>
      </c>
      <c r="AF77" s="30">
        <v>65</v>
      </c>
      <c r="AG77" s="30">
        <v>12.6</v>
      </c>
      <c r="AH77" s="30">
        <v>6.22</v>
      </c>
      <c r="AI77" s="30">
        <v>30.5</v>
      </c>
      <c r="AJ77" s="30">
        <v>55.5</v>
      </c>
      <c r="AK77" s="30">
        <v>5.2</v>
      </c>
      <c r="AL77" s="30">
        <v>23.3</v>
      </c>
      <c r="AM77" s="30">
        <v>41</v>
      </c>
      <c r="AN77" s="30">
        <v>2.38</v>
      </c>
      <c r="AO77" s="30">
        <v>4</v>
      </c>
      <c r="AP77" s="30">
        <v>2.5</v>
      </c>
      <c r="AQ77" s="30">
        <v>4.4000000000000004</v>
      </c>
      <c r="AR77" s="30">
        <v>73.5</v>
      </c>
      <c r="AS77" s="30">
        <v>20</v>
      </c>
      <c r="AT77" s="30">
        <v>0.28999999999999998</v>
      </c>
      <c r="AU77" s="30">
        <v>81.8</v>
      </c>
      <c r="AV77" s="30">
        <v>13.5</v>
      </c>
      <c r="AW77" s="30">
        <v>25.1</v>
      </c>
      <c r="AX77" s="30">
        <v>4.99</v>
      </c>
      <c r="AY77" s="30">
        <v>66.3</v>
      </c>
      <c r="AZ77" s="30">
        <v>2.39</v>
      </c>
      <c r="BA77" s="30">
        <v>8.07</v>
      </c>
      <c r="BB77" s="30">
        <v>24.9</v>
      </c>
      <c r="BC77" s="30">
        <v>42</v>
      </c>
      <c r="BD77" s="30">
        <v>2.77</v>
      </c>
      <c r="BE77" s="30">
        <v>5.35</v>
      </c>
      <c r="BF77" s="30">
        <v>9.4600000000000009</v>
      </c>
      <c r="BG77" s="30">
        <v>-62.7</v>
      </c>
      <c r="BH77" s="30">
        <v>263</v>
      </c>
      <c r="BI77" s="30">
        <v>202</v>
      </c>
      <c r="BJ77" s="30">
        <v>257</v>
      </c>
      <c r="BK77" s="30">
        <v>493</v>
      </c>
      <c r="BL77" s="30">
        <v>314</v>
      </c>
      <c r="BM77" s="30">
        <v>-0.59</v>
      </c>
    </row>
    <row r="78" spans="1:65" x14ac:dyDescent="0.5">
      <c r="A78" s="44">
        <v>176</v>
      </c>
      <c r="B78" s="30">
        <v>8.9600000000000009</v>
      </c>
      <c r="C78" s="30">
        <v>1.5</v>
      </c>
      <c r="D78" s="30">
        <v>0.97</v>
      </c>
      <c r="E78" s="30">
        <v>10.3</v>
      </c>
      <c r="F78" s="30">
        <v>87.2</v>
      </c>
      <c r="G78" s="30">
        <v>67.400000000000006</v>
      </c>
      <c r="H78" s="30">
        <v>3.3000000000000002E-2</v>
      </c>
      <c r="I78" s="30">
        <v>0.15</v>
      </c>
      <c r="J78" s="30">
        <v>1.94</v>
      </c>
      <c r="K78" s="30">
        <v>65.099999999999994</v>
      </c>
      <c r="L78" s="30">
        <v>46</v>
      </c>
      <c r="M78" s="30">
        <v>6.38</v>
      </c>
      <c r="N78" s="30">
        <v>28.7</v>
      </c>
      <c r="O78" s="30">
        <v>41.5</v>
      </c>
      <c r="P78" s="30">
        <v>18.5</v>
      </c>
      <c r="Q78" s="30">
        <v>51</v>
      </c>
      <c r="R78" s="30">
        <v>51.9</v>
      </c>
      <c r="S78" s="30">
        <v>8.26</v>
      </c>
      <c r="T78" s="30">
        <v>17.7</v>
      </c>
      <c r="U78" s="30">
        <v>22.2</v>
      </c>
      <c r="V78" s="30">
        <v>31.6</v>
      </c>
      <c r="W78" s="30">
        <v>12.6</v>
      </c>
      <c r="X78" s="30">
        <v>21.7</v>
      </c>
      <c r="Y78" s="30">
        <v>13.1</v>
      </c>
      <c r="Z78" s="30">
        <v>27.3</v>
      </c>
      <c r="AA78" s="30">
        <v>37.9</v>
      </c>
      <c r="AB78" s="30">
        <v>16.7</v>
      </c>
      <c r="AC78" s="30">
        <v>24.3</v>
      </c>
      <c r="AD78" s="30">
        <v>17.600000000000001</v>
      </c>
      <c r="AE78" s="30">
        <v>29.9</v>
      </c>
      <c r="AF78" s="30">
        <v>24.3</v>
      </c>
      <c r="AG78" s="30">
        <v>9.23</v>
      </c>
      <c r="AH78" s="30">
        <v>9.4499999999999993</v>
      </c>
      <c r="AI78" s="30">
        <v>7.84</v>
      </c>
      <c r="AJ78" s="30">
        <v>78.2</v>
      </c>
      <c r="AK78" s="30">
        <v>2.36</v>
      </c>
      <c r="AL78" s="30">
        <v>14.2</v>
      </c>
      <c r="AM78" s="30">
        <v>19.7</v>
      </c>
      <c r="AN78" s="30">
        <v>0.52</v>
      </c>
      <c r="AO78" s="30">
        <v>1.0900000000000001</v>
      </c>
      <c r="AP78" s="30">
        <v>1.49</v>
      </c>
      <c r="AQ78" s="30">
        <v>4.8</v>
      </c>
      <c r="AR78" s="30">
        <v>76.400000000000006</v>
      </c>
      <c r="AS78" s="30">
        <v>22</v>
      </c>
      <c r="AT78" s="30">
        <v>0.14000000000000001</v>
      </c>
      <c r="AU78" s="30">
        <v>78</v>
      </c>
      <c r="AV78" s="30">
        <v>16.399999999999999</v>
      </c>
      <c r="AW78" s="30">
        <v>48.7</v>
      </c>
      <c r="AX78" s="30">
        <v>5.88</v>
      </c>
      <c r="AY78" s="30">
        <v>37.5</v>
      </c>
      <c r="AZ78" s="30">
        <v>5.48</v>
      </c>
      <c r="BA78" s="30">
        <v>7.89</v>
      </c>
      <c r="BB78" s="30">
        <v>69.5</v>
      </c>
      <c r="BC78" s="30">
        <v>76</v>
      </c>
      <c r="BD78" s="30">
        <v>4.87</v>
      </c>
      <c r="BE78" s="30">
        <v>7.01</v>
      </c>
      <c r="BF78" s="30">
        <v>49.7</v>
      </c>
      <c r="BG78" s="30">
        <v>-37.1</v>
      </c>
      <c r="BH78" s="30">
        <v>201</v>
      </c>
      <c r="BI78" s="30">
        <v>187</v>
      </c>
      <c r="BJ78" s="30">
        <v>131</v>
      </c>
      <c r="BK78" s="30">
        <v>180</v>
      </c>
      <c r="BL78" s="30">
        <v>74.2</v>
      </c>
      <c r="BM78" s="30">
        <v>20.7</v>
      </c>
    </row>
    <row r="79" spans="1:65" x14ac:dyDescent="0.5">
      <c r="A79" s="44">
        <v>177</v>
      </c>
      <c r="B79" s="30">
        <v>11.3</v>
      </c>
      <c r="C79" s="30">
        <v>7.05</v>
      </c>
      <c r="D79" s="30">
        <v>0.78</v>
      </c>
      <c r="E79" s="30">
        <v>28.5</v>
      </c>
      <c r="F79" s="30">
        <v>63.6</v>
      </c>
      <c r="G79" s="30">
        <v>66.900000000000006</v>
      </c>
      <c r="H79" s="30">
        <v>2.1999999999999999E-2</v>
      </c>
      <c r="I79" s="30">
        <v>0.5</v>
      </c>
      <c r="J79" s="30">
        <v>4.9000000000000004</v>
      </c>
      <c r="K79" s="30">
        <v>61.6</v>
      </c>
      <c r="L79" s="30">
        <v>34</v>
      </c>
      <c r="M79" s="30">
        <v>6.55</v>
      </c>
      <c r="N79" s="30">
        <v>48.8</v>
      </c>
      <c r="O79" s="30">
        <v>29.5</v>
      </c>
      <c r="P79" s="30">
        <v>9.8800000000000008</v>
      </c>
      <c r="Q79" s="30">
        <v>28.8</v>
      </c>
      <c r="R79" s="30">
        <v>32.299999999999997</v>
      </c>
      <c r="S79" s="30">
        <v>17.100000000000001</v>
      </c>
      <c r="T79" s="30">
        <v>37</v>
      </c>
      <c r="U79" s="30">
        <v>13.6</v>
      </c>
      <c r="V79" s="30">
        <v>52.2</v>
      </c>
      <c r="W79" s="30">
        <v>14.1</v>
      </c>
      <c r="X79" s="30">
        <v>26.8</v>
      </c>
      <c r="Y79" s="30">
        <v>13.4</v>
      </c>
      <c r="Z79" s="30">
        <v>40.5</v>
      </c>
      <c r="AA79" s="30">
        <v>19.399999999999999</v>
      </c>
      <c r="AB79" s="30">
        <v>24.9</v>
      </c>
      <c r="AC79" s="30">
        <v>3.37</v>
      </c>
      <c r="AD79" s="30">
        <v>7.17</v>
      </c>
      <c r="AE79" s="30">
        <v>17.7</v>
      </c>
      <c r="AF79" s="30">
        <v>69.099999999999994</v>
      </c>
      <c r="AG79" s="30">
        <v>17.7</v>
      </c>
      <c r="AH79" s="30">
        <v>7.17</v>
      </c>
      <c r="AI79" s="30">
        <v>15.3</v>
      </c>
      <c r="AJ79" s="30">
        <v>52.5</v>
      </c>
      <c r="AK79" s="30">
        <v>21.3</v>
      </c>
      <c r="AL79" s="30">
        <v>22.3</v>
      </c>
      <c r="AM79" s="30">
        <v>30.6</v>
      </c>
      <c r="AN79" s="30">
        <v>0.59</v>
      </c>
      <c r="AO79" s="30">
        <v>1.82</v>
      </c>
      <c r="AP79" s="30">
        <v>0.96</v>
      </c>
      <c r="AQ79" s="30">
        <v>1.2</v>
      </c>
      <c r="AR79" s="30">
        <v>76</v>
      </c>
      <c r="AS79" s="30">
        <v>21.4</v>
      </c>
      <c r="AT79" s="30">
        <v>2.2999999999999998</v>
      </c>
      <c r="AU79" s="30">
        <v>90</v>
      </c>
      <c r="AV79" s="30">
        <v>8.5</v>
      </c>
      <c r="AW79" s="30">
        <v>30.8</v>
      </c>
      <c r="AX79" s="30">
        <v>8.5399999999999991</v>
      </c>
      <c r="AY79" s="30">
        <v>57.2</v>
      </c>
      <c r="AZ79" s="30">
        <v>0.99</v>
      </c>
      <c r="BA79" s="30">
        <v>19.3</v>
      </c>
      <c r="BB79" s="30">
        <v>60.3</v>
      </c>
      <c r="BC79" s="30">
        <v>62.6</v>
      </c>
      <c r="BD79" s="30">
        <v>1.96</v>
      </c>
      <c r="BE79" s="30">
        <v>6.24</v>
      </c>
      <c r="BF79" s="30">
        <v>24.7</v>
      </c>
      <c r="BG79" s="30">
        <v>-74.8</v>
      </c>
      <c r="BH79" s="30">
        <v>163</v>
      </c>
      <c r="BI79" s="30">
        <v>197</v>
      </c>
      <c r="BJ79" s="30">
        <v>381</v>
      </c>
      <c r="BK79" s="30">
        <v>469</v>
      </c>
      <c r="BL79" s="30">
        <v>181</v>
      </c>
      <c r="BM79" s="30">
        <v>-17.7</v>
      </c>
    </row>
    <row r="80" spans="1:65" x14ac:dyDescent="0.5">
      <c r="A80" s="44">
        <v>178</v>
      </c>
      <c r="B80" s="30">
        <v>12.3</v>
      </c>
      <c r="C80" s="30">
        <v>2.64</v>
      </c>
      <c r="D80" s="30">
        <v>0.15</v>
      </c>
      <c r="E80" s="30">
        <v>15.9</v>
      </c>
      <c r="F80" s="30">
        <v>78.599999999999994</v>
      </c>
      <c r="G80" s="30">
        <v>71.2</v>
      </c>
      <c r="H80" s="30">
        <v>0.02</v>
      </c>
      <c r="I80" s="30">
        <v>1.59</v>
      </c>
      <c r="J80" s="30">
        <v>2.92</v>
      </c>
      <c r="K80" s="30">
        <v>66.900000000000006</v>
      </c>
      <c r="L80" s="30">
        <v>34.6</v>
      </c>
      <c r="M80" s="30">
        <v>6.6</v>
      </c>
      <c r="N80" s="30">
        <v>52.6</v>
      </c>
      <c r="O80" s="30">
        <v>24.3</v>
      </c>
      <c r="P80" s="30">
        <v>9.23</v>
      </c>
      <c r="Q80" s="30">
        <v>27.8</v>
      </c>
      <c r="R80" s="30">
        <v>26.2</v>
      </c>
      <c r="S80" s="30">
        <v>17.600000000000001</v>
      </c>
      <c r="T80" s="30">
        <v>35</v>
      </c>
      <c r="U80" s="30">
        <v>21.2</v>
      </c>
      <c r="V80" s="30">
        <v>51.6</v>
      </c>
      <c r="W80" s="30">
        <v>10.8</v>
      </c>
      <c r="X80" s="30">
        <v>18.2</v>
      </c>
      <c r="Y80" s="30">
        <v>17</v>
      </c>
      <c r="Z80" s="30">
        <v>34</v>
      </c>
      <c r="AA80" s="30">
        <v>30.8</v>
      </c>
      <c r="AB80" s="30">
        <v>31.7</v>
      </c>
      <c r="AC80" s="30">
        <v>2.66</v>
      </c>
      <c r="AD80" s="30">
        <v>8.76</v>
      </c>
      <c r="AE80" s="30">
        <v>65.400000000000006</v>
      </c>
      <c r="AF80" s="30">
        <v>20.399999999999999</v>
      </c>
      <c r="AG80" s="30">
        <v>13.7</v>
      </c>
      <c r="AH80" s="30">
        <v>3.7</v>
      </c>
      <c r="AI80" s="30">
        <v>10.3</v>
      </c>
      <c r="AJ80" s="30">
        <v>66</v>
      </c>
      <c r="AK80" s="30">
        <v>10.4</v>
      </c>
      <c r="AL80" s="30">
        <v>14.9</v>
      </c>
      <c r="AM80" s="30">
        <v>25</v>
      </c>
      <c r="AN80" s="30">
        <v>0.34</v>
      </c>
      <c r="AO80" s="30">
        <v>1.08</v>
      </c>
      <c r="AP80" s="30">
        <v>1.9</v>
      </c>
      <c r="AQ80" s="30">
        <v>19.3</v>
      </c>
      <c r="AR80" s="30">
        <v>52.1</v>
      </c>
      <c r="AS80" s="30">
        <v>46.6</v>
      </c>
      <c r="AT80" s="30">
        <v>1.31</v>
      </c>
      <c r="AU80" s="30">
        <v>49.1</v>
      </c>
      <c r="AV80" s="30">
        <v>30.8</v>
      </c>
      <c r="AW80" s="30">
        <v>45</v>
      </c>
      <c r="AX80" s="30">
        <v>4.05</v>
      </c>
      <c r="AY80" s="30">
        <v>42.6</v>
      </c>
      <c r="AZ80" s="30">
        <v>1.1100000000000001</v>
      </c>
      <c r="BA80" s="30">
        <v>10.1</v>
      </c>
      <c r="BB80" s="30">
        <v>76.7</v>
      </c>
      <c r="BC80" s="30">
        <v>89.8</v>
      </c>
      <c r="BD80" s="30">
        <v>1.07</v>
      </c>
      <c r="BE80" s="30">
        <v>1.95</v>
      </c>
      <c r="BF80" s="30">
        <v>17.899999999999999</v>
      </c>
      <c r="BG80" s="30">
        <v>27.7</v>
      </c>
      <c r="BH80" s="30">
        <v>284</v>
      </c>
      <c r="BI80" s="30">
        <v>337</v>
      </c>
      <c r="BJ80" s="30">
        <v>318</v>
      </c>
      <c r="BK80" s="30">
        <v>212</v>
      </c>
      <c r="BL80" s="30">
        <v>43.5</v>
      </c>
      <c r="BM80" s="30">
        <v>23.5</v>
      </c>
    </row>
    <row r="81" spans="1:65" x14ac:dyDescent="0.5">
      <c r="A81" s="44">
        <v>179</v>
      </c>
      <c r="B81" s="30">
        <v>18</v>
      </c>
      <c r="C81" s="30">
        <v>10.3</v>
      </c>
      <c r="D81" s="30">
        <v>0.25</v>
      </c>
      <c r="E81" s="30">
        <v>26.3</v>
      </c>
      <c r="F81" s="30">
        <v>63.1</v>
      </c>
      <c r="G81" s="30">
        <v>47.7</v>
      </c>
      <c r="H81" s="30">
        <v>3.9E-2</v>
      </c>
      <c r="I81" s="30">
        <v>0.39</v>
      </c>
      <c r="J81" s="30">
        <v>1.23</v>
      </c>
      <c r="K81" s="30">
        <v>46.1</v>
      </c>
      <c r="L81" s="30">
        <v>32.700000000000003</v>
      </c>
      <c r="M81" s="30">
        <v>7.63</v>
      </c>
      <c r="N81" s="30">
        <v>19.3</v>
      </c>
      <c r="O81" s="30">
        <v>39.4</v>
      </c>
      <c r="P81" s="30">
        <v>27.2</v>
      </c>
      <c r="Q81" s="30">
        <v>55.5</v>
      </c>
      <c r="R81" s="30">
        <v>40.1</v>
      </c>
      <c r="S81" s="30">
        <v>8.6199999999999992</v>
      </c>
      <c r="T81" s="30">
        <v>41.5</v>
      </c>
      <c r="U81" s="30">
        <v>9.8000000000000007</v>
      </c>
      <c r="V81" s="30">
        <v>20.8</v>
      </c>
      <c r="W81" s="30">
        <v>15.1</v>
      </c>
      <c r="X81" s="30">
        <v>41.5</v>
      </c>
      <c r="Y81" s="30">
        <v>5.92</v>
      </c>
      <c r="Z81" s="30">
        <v>39.5</v>
      </c>
      <c r="AA81" s="30">
        <v>13.1</v>
      </c>
      <c r="AB81" s="30">
        <v>10.4</v>
      </c>
      <c r="AC81" s="30">
        <v>34.6</v>
      </c>
      <c r="AD81" s="30">
        <v>34.9</v>
      </c>
      <c r="AE81" s="30">
        <v>14.1</v>
      </c>
      <c r="AF81" s="30">
        <v>9.07</v>
      </c>
      <c r="AG81" s="30">
        <v>25.8</v>
      </c>
      <c r="AH81" s="30">
        <v>2.96</v>
      </c>
      <c r="AI81" s="30">
        <v>11.4</v>
      </c>
      <c r="AJ81" s="30">
        <v>69.5</v>
      </c>
      <c r="AK81" s="30">
        <v>12</v>
      </c>
      <c r="AL81" s="30">
        <v>17</v>
      </c>
      <c r="AM81" s="30">
        <v>13.4</v>
      </c>
      <c r="AN81" s="30">
        <v>0.38</v>
      </c>
      <c r="AO81" s="30">
        <v>0.89</v>
      </c>
      <c r="AP81" s="30">
        <v>1.39</v>
      </c>
      <c r="AQ81" s="30">
        <v>1.92</v>
      </c>
      <c r="AR81" s="30">
        <v>59.4</v>
      </c>
      <c r="AS81" s="30">
        <v>39.200000000000003</v>
      </c>
      <c r="AT81" s="30">
        <v>1.27</v>
      </c>
      <c r="AU81" s="30">
        <v>73.099999999999994</v>
      </c>
      <c r="AV81" s="30">
        <v>24.4</v>
      </c>
      <c r="AW81" s="30">
        <v>54.2</v>
      </c>
      <c r="AX81" s="30">
        <v>6.93</v>
      </c>
      <c r="AY81" s="30">
        <v>33</v>
      </c>
      <c r="AZ81" s="30">
        <v>1.34</v>
      </c>
      <c r="BA81" s="30">
        <v>5.18</v>
      </c>
      <c r="BB81" s="30">
        <v>14.9</v>
      </c>
      <c r="BC81" s="30">
        <v>19.600000000000001</v>
      </c>
      <c r="BD81" s="30">
        <v>1.46</v>
      </c>
      <c r="BE81" s="30">
        <v>2.29</v>
      </c>
      <c r="BF81" s="30">
        <v>12.3</v>
      </c>
      <c r="BG81" s="30">
        <v>-54.6</v>
      </c>
      <c r="BH81" s="30">
        <v>135</v>
      </c>
      <c r="BI81" s="30">
        <v>207</v>
      </c>
      <c r="BJ81" s="30">
        <v>38.6</v>
      </c>
      <c r="BK81" s="30">
        <v>126</v>
      </c>
      <c r="BL81" s="30">
        <v>163</v>
      </c>
      <c r="BM81" s="30">
        <v>-14.3</v>
      </c>
    </row>
    <row r="82" spans="1:65" x14ac:dyDescent="0.5">
      <c r="A82" s="44">
        <v>180</v>
      </c>
      <c r="B82" s="30">
        <v>3.06</v>
      </c>
      <c r="C82" s="30">
        <v>7.29</v>
      </c>
      <c r="D82" s="30">
        <v>0.11</v>
      </c>
      <c r="E82" s="30">
        <v>27.6</v>
      </c>
      <c r="F82" s="30">
        <v>64.8</v>
      </c>
      <c r="G82" s="30">
        <v>77.3</v>
      </c>
      <c r="H82" s="30">
        <v>7.1999999999999995E-2</v>
      </c>
      <c r="I82" s="30">
        <v>0.71</v>
      </c>
      <c r="J82" s="30">
        <v>0.43</v>
      </c>
      <c r="K82" s="30">
        <v>75.8</v>
      </c>
      <c r="L82" s="30">
        <v>41.9</v>
      </c>
      <c r="M82" s="30">
        <v>5.63</v>
      </c>
      <c r="N82" s="30">
        <v>55.3</v>
      </c>
      <c r="O82" s="30">
        <v>21.8</v>
      </c>
      <c r="P82" s="30">
        <v>12.8</v>
      </c>
      <c r="Q82" s="30">
        <v>26.6</v>
      </c>
      <c r="R82" s="30">
        <v>43.6</v>
      </c>
      <c r="S82" s="30">
        <v>12.7</v>
      </c>
      <c r="T82" s="30">
        <v>18.7</v>
      </c>
      <c r="U82" s="30">
        <v>25.1</v>
      </c>
      <c r="V82" s="30">
        <v>53.4</v>
      </c>
      <c r="W82" s="30">
        <v>10.1</v>
      </c>
      <c r="X82" s="30">
        <v>36.9</v>
      </c>
      <c r="Y82" s="30">
        <v>9.2100000000000009</v>
      </c>
      <c r="Z82" s="30">
        <v>27</v>
      </c>
      <c r="AA82" s="30">
        <v>26.8</v>
      </c>
      <c r="AB82" s="30">
        <v>32.799999999999997</v>
      </c>
      <c r="AC82" s="30">
        <v>0.84</v>
      </c>
      <c r="AD82" s="30">
        <v>5.15</v>
      </c>
      <c r="AE82" s="30">
        <v>27.4</v>
      </c>
      <c r="AF82" s="30">
        <v>66</v>
      </c>
      <c r="AG82" s="30">
        <v>14.5</v>
      </c>
      <c r="AH82" s="30">
        <v>4.9400000000000004</v>
      </c>
      <c r="AI82" s="30">
        <v>26.4</v>
      </c>
      <c r="AJ82" s="30">
        <v>63.6</v>
      </c>
      <c r="AK82" s="30">
        <v>1.98</v>
      </c>
      <c r="AL82" s="30">
        <v>28</v>
      </c>
      <c r="AM82" s="30">
        <v>32.299999999999997</v>
      </c>
      <c r="AN82" s="30">
        <v>0.83</v>
      </c>
      <c r="AO82" s="30">
        <v>2.27</v>
      </c>
      <c r="AP82" s="30">
        <v>1.4</v>
      </c>
      <c r="AQ82" s="30">
        <v>9</v>
      </c>
      <c r="AR82" s="30">
        <v>72.599999999999994</v>
      </c>
      <c r="AS82" s="30">
        <v>24</v>
      </c>
      <c r="AT82" s="30">
        <v>0.1</v>
      </c>
      <c r="AU82" s="30">
        <v>62.7</v>
      </c>
      <c r="AV82" s="30">
        <v>27.6</v>
      </c>
      <c r="AW82" s="30">
        <v>28.9</v>
      </c>
      <c r="AX82" s="30">
        <v>2.77</v>
      </c>
      <c r="AY82" s="30">
        <v>62.2</v>
      </c>
      <c r="AZ82" s="30">
        <v>2.21</v>
      </c>
      <c r="BA82" s="30">
        <v>26.4</v>
      </c>
      <c r="BB82" s="30">
        <v>89.1</v>
      </c>
      <c r="BC82" s="30">
        <v>88.5</v>
      </c>
      <c r="BD82" s="30">
        <v>2.61</v>
      </c>
      <c r="BE82" s="30">
        <v>7.58</v>
      </c>
      <c r="BF82" s="30">
        <v>47.1</v>
      </c>
      <c r="BG82" s="30">
        <v>-36.6</v>
      </c>
      <c r="BH82" s="30">
        <v>189</v>
      </c>
      <c r="BI82" s="30">
        <v>220</v>
      </c>
      <c r="BJ82" s="30">
        <v>274</v>
      </c>
      <c r="BK82" s="30">
        <v>207</v>
      </c>
      <c r="BL82" s="30">
        <v>178</v>
      </c>
      <c r="BM82" s="30">
        <v>-16</v>
      </c>
    </row>
    <row r="83" spans="1:65" x14ac:dyDescent="0.5">
      <c r="A83" s="44">
        <v>181</v>
      </c>
      <c r="B83" s="30">
        <v>19.399999999999999</v>
      </c>
      <c r="C83" s="30">
        <v>1.61</v>
      </c>
      <c r="D83" s="30">
        <v>0.32</v>
      </c>
      <c r="E83" s="30">
        <v>17.3</v>
      </c>
      <c r="F83" s="30">
        <v>77.5</v>
      </c>
      <c r="G83" s="30">
        <v>62.8</v>
      </c>
      <c r="H83" s="30">
        <v>3.5000000000000003E-2</v>
      </c>
      <c r="I83" s="30">
        <v>1.04</v>
      </c>
      <c r="J83" s="30">
        <v>1.76</v>
      </c>
      <c r="K83" s="30">
        <v>60.2</v>
      </c>
      <c r="L83" s="30">
        <v>38.1</v>
      </c>
      <c r="M83" s="30">
        <v>11.4</v>
      </c>
      <c r="N83" s="30">
        <v>59</v>
      </c>
      <c r="O83" s="30">
        <v>17.600000000000001</v>
      </c>
      <c r="P83" s="30">
        <v>7.47</v>
      </c>
      <c r="Q83" s="30">
        <v>20.100000000000001</v>
      </c>
      <c r="R83" s="30">
        <v>36.1</v>
      </c>
      <c r="S83" s="30">
        <v>15.7</v>
      </c>
      <c r="T83" s="30">
        <v>30.2</v>
      </c>
      <c r="U83" s="30">
        <v>18</v>
      </c>
      <c r="V83" s="30">
        <v>58.9</v>
      </c>
      <c r="W83" s="30">
        <v>8.3000000000000007</v>
      </c>
      <c r="X83" s="30">
        <v>15.4</v>
      </c>
      <c r="Y83" s="30">
        <v>22.5</v>
      </c>
      <c r="Z83" s="30">
        <v>27</v>
      </c>
      <c r="AA83" s="30">
        <v>35.1</v>
      </c>
      <c r="AB83" s="30">
        <v>21</v>
      </c>
      <c r="AC83" s="30">
        <v>5.01</v>
      </c>
      <c r="AD83" s="30">
        <v>44.8</v>
      </c>
      <c r="AE83" s="30">
        <v>24.6</v>
      </c>
      <c r="AF83" s="30">
        <v>21.7</v>
      </c>
      <c r="AG83" s="30">
        <v>14.3</v>
      </c>
      <c r="AH83" s="30">
        <v>2.2000000000000002</v>
      </c>
      <c r="AI83" s="30">
        <v>3.88</v>
      </c>
      <c r="AJ83" s="30">
        <v>78.3</v>
      </c>
      <c r="AK83" s="30">
        <v>12</v>
      </c>
      <c r="AL83" s="30">
        <v>0.15</v>
      </c>
      <c r="AM83" s="30">
        <v>13.2</v>
      </c>
      <c r="AN83" s="30">
        <v>0.21</v>
      </c>
      <c r="AO83" s="30">
        <v>0.4</v>
      </c>
      <c r="AP83" s="30">
        <v>1.29</v>
      </c>
      <c r="AQ83" s="30">
        <v>6.34</v>
      </c>
      <c r="AR83" s="30">
        <v>58.7</v>
      </c>
      <c r="AS83" s="30">
        <v>40.700000000000003</v>
      </c>
      <c r="AT83" s="30">
        <v>0.55000000000000004</v>
      </c>
      <c r="AU83" s="30">
        <v>60.8</v>
      </c>
      <c r="AV83" s="30">
        <v>32.799999999999997</v>
      </c>
      <c r="AW83" s="30">
        <v>63.7</v>
      </c>
      <c r="AX83" s="30">
        <v>9.07</v>
      </c>
      <c r="AY83" s="30">
        <v>14.9</v>
      </c>
      <c r="AZ83" s="30">
        <v>0.66</v>
      </c>
      <c r="BA83" s="30">
        <v>19.2</v>
      </c>
      <c r="BB83" s="30">
        <v>80.7</v>
      </c>
      <c r="BC83" s="30">
        <v>72.5</v>
      </c>
      <c r="BD83" s="30">
        <v>0.42</v>
      </c>
      <c r="BE83" s="30">
        <v>1.87</v>
      </c>
      <c r="BF83" s="30">
        <v>26.8</v>
      </c>
      <c r="BG83" s="30">
        <v>-47.4</v>
      </c>
      <c r="BH83" s="30">
        <v>260</v>
      </c>
      <c r="BI83" s="30">
        <v>344</v>
      </c>
      <c r="BJ83" s="30">
        <v>212</v>
      </c>
      <c r="BK83" s="30">
        <v>174</v>
      </c>
      <c r="BL83" s="30">
        <v>91.9</v>
      </c>
      <c r="BM83" s="30">
        <v>-21.9</v>
      </c>
    </row>
    <row r="84" spans="1:65" x14ac:dyDescent="0.5">
      <c r="A84" s="44">
        <v>182</v>
      </c>
      <c r="B84" s="30">
        <v>29.1</v>
      </c>
      <c r="C84" s="30">
        <v>1.94</v>
      </c>
      <c r="D84" s="30">
        <v>0.22</v>
      </c>
      <c r="E84" s="30">
        <v>16.399999999999999</v>
      </c>
      <c r="F84" s="30">
        <v>77.2</v>
      </c>
      <c r="G84" s="30">
        <v>67.8</v>
      </c>
      <c r="H84" s="30">
        <v>8.8999999999999996E-2</v>
      </c>
      <c r="I84" s="30">
        <v>1.25</v>
      </c>
      <c r="J84" s="30">
        <v>3.4</v>
      </c>
      <c r="K84" s="30">
        <v>62.8</v>
      </c>
      <c r="L84" s="30">
        <v>43</v>
      </c>
      <c r="M84" s="30">
        <v>7.08</v>
      </c>
      <c r="N84" s="30">
        <v>65.900000000000006</v>
      </c>
      <c r="O84" s="30">
        <v>11.5</v>
      </c>
      <c r="P84" s="30">
        <v>9.39</v>
      </c>
      <c r="Q84" s="30">
        <v>22.7</v>
      </c>
      <c r="R84" s="30">
        <v>61.3</v>
      </c>
      <c r="S84" s="30">
        <v>4.88</v>
      </c>
      <c r="T84" s="30">
        <v>8.89</v>
      </c>
      <c r="U84" s="30">
        <v>25</v>
      </c>
      <c r="V84" s="30">
        <v>67.900000000000006</v>
      </c>
      <c r="W84" s="30">
        <v>2.78</v>
      </c>
      <c r="X84" s="30">
        <v>37.799999999999997</v>
      </c>
      <c r="Y84" s="30">
        <v>8.23</v>
      </c>
      <c r="Z84" s="30">
        <v>16.2</v>
      </c>
      <c r="AA84" s="30">
        <v>37.700000000000003</v>
      </c>
      <c r="AB84" s="30">
        <v>19.100000000000001</v>
      </c>
      <c r="AC84" s="30">
        <v>2.4</v>
      </c>
      <c r="AD84" s="30">
        <v>21.7</v>
      </c>
      <c r="AE84" s="30">
        <v>40.9</v>
      </c>
      <c r="AF84" s="30">
        <v>32.200000000000003</v>
      </c>
      <c r="AG84" s="30">
        <v>0.47</v>
      </c>
      <c r="AH84" s="30">
        <v>10.3</v>
      </c>
      <c r="AI84" s="30">
        <v>14.2</v>
      </c>
      <c r="AJ84" s="30">
        <v>50.6</v>
      </c>
      <c r="AK84" s="30">
        <v>15.1</v>
      </c>
      <c r="AL84" s="30">
        <v>0.99</v>
      </c>
      <c r="AM84" s="30">
        <v>1.48</v>
      </c>
      <c r="AN84" s="30">
        <v>0.14000000000000001</v>
      </c>
      <c r="AO84" s="30">
        <v>0</v>
      </c>
      <c r="AP84" s="30">
        <v>0</v>
      </c>
      <c r="AQ84" s="30">
        <v>0.46</v>
      </c>
      <c r="AR84" s="30">
        <v>68.400000000000006</v>
      </c>
      <c r="AS84" s="30">
        <v>27.8</v>
      </c>
      <c r="AT84" s="30">
        <v>0.55000000000000004</v>
      </c>
      <c r="AU84" s="30">
        <v>79.599999999999994</v>
      </c>
      <c r="AV84" s="30">
        <v>19.899999999999999</v>
      </c>
      <c r="AW84" s="30">
        <v>46.3</v>
      </c>
      <c r="AX84" s="30">
        <v>43.3</v>
      </c>
      <c r="AY84" s="30">
        <v>7.39</v>
      </c>
      <c r="AZ84" s="30">
        <v>0.23</v>
      </c>
      <c r="BA84" s="30">
        <v>12.8</v>
      </c>
      <c r="BB84" s="30">
        <v>87.7</v>
      </c>
      <c r="BC84" s="30">
        <v>78.7</v>
      </c>
      <c r="BD84" s="30">
        <v>0.46</v>
      </c>
      <c r="BE84" s="30">
        <v>1.38</v>
      </c>
      <c r="BF84" s="30">
        <v>42</v>
      </c>
      <c r="BG84" s="30">
        <v>-1.33</v>
      </c>
      <c r="BH84" s="30">
        <v>326</v>
      </c>
      <c r="BI84" s="30">
        <v>317</v>
      </c>
      <c r="BJ84" s="30">
        <v>243</v>
      </c>
      <c r="BK84" s="30">
        <v>164</v>
      </c>
      <c r="BL84" s="30">
        <v>117</v>
      </c>
      <c r="BM84" s="30">
        <v>-3.13</v>
      </c>
    </row>
    <row r="85" spans="1:65" x14ac:dyDescent="0.5">
      <c r="A85" s="44">
        <v>183</v>
      </c>
      <c r="B85" s="30">
        <v>16.7</v>
      </c>
      <c r="C85" s="30">
        <v>4.76</v>
      </c>
      <c r="D85" s="30">
        <v>0.21</v>
      </c>
      <c r="E85" s="30">
        <v>37</v>
      </c>
      <c r="F85" s="30">
        <v>57.9</v>
      </c>
      <c r="G85" s="30">
        <v>76.3</v>
      </c>
      <c r="H85" s="36">
        <v>7.8399999999999997E-3</v>
      </c>
      <c r="I85" s="30">
        <v>0.19</v>
      </c>
      <c r="J85" s="30">
        <v>2.65</v>
      </c>
      <c r="K85" s="30">
        <v>72</v>
      </c>
      <c r="L85" s="30">
        <v>54</v>
      </c>
      <c r="M85" s="30">
        <v>3.66</v>
      </c>
      <c r="N85" s="30">
        <v>69.8</v>
      </c>
      <c r="O85" s="30">
        <v>17.100000000000001</v>
      </c>
      <c r="P85" s="30">
        <v>8.09</v>
      </c>
      <c r="Q85" s="30">
        <v>20.100000000000001</v>
      </c>
      <c r="R85" s="30">
        <v>59.3</v>
      </c>
      <c r="S85" s="30">
        <v>5.74</v>
      </c>
      <c r="T85" s="30">
        <v>20.6</v>
      </c>
      <c r="U85" s="30">
        <v>14.3</v>
      </c>
      <c r="V85" s="30">
        <v>68.2</v>
      </c>
      <c r="W85" s="30">
        <v>5.16</v>
      </c>
      <c r="X85" s="30">
        <v>41.5</v>
      </c>
      <c r="Y85" s="30">
        <v>8.69</v>
      </c>
      <c r="Z85" s="30">
        <v>19.399999999999999</v>
      </c>
      <c r="AA85" s="30">
        <v>30.3</v>
      </c>
      <c r="AB85" s="30">
        <v>17.2</v>
      </c>
      <c r="AC85" s="30">
        <v>4.79</v>
      </c>
      <c r="AD85" s="30">
        <v>6.95</v>
      </c>
      <c r="AE85" s="30">
        <v>27.6</v>
      </c>
      <c r="AF85" s="30">
        <v>56.9</v>
      </c>
      <c r="AG85" s="30">
        <v>4.71</v>
      </c>
      <c r="AH85" s="30">
        <v>5.71</v>
      </c>
      <c r="AI85" s="30">
        <v>35.1</v>
      </c>
      <c r="AJ85" s="30">
        <v>47.7</v>
      </c>
      <c r="AK85" s="30">
        <v>9.14</v>
      </c>
      <c r="AL85" s="30">
        <v>18.399999999999999</v>
      </c>
      <c r="AM85" s="30">
        <v>10.7</v>
      </c>
      <c r="AN85" s="30">
        <v>1.1100000000000001</v>
      </c>
      <c r="AO85" s="30">
        <v>1</v>
      </c>
      <c r="AP85" s="30">
        <v>1.17</v>
      </c>
      <c r="AQ85" s="30">
        <v>1.91</v>
      </c>
      <c r="AR85" s="30">
        <v>67.099999999999994</v>
      </c>
      <c r="AS85" s="30">
        <v>30.7</v>
      </c>
      <c r="AT85" s="30">
        <v>7.1999999999999995E-2</v>
      </c>
      <c r="AU85" s="30">
        <v>56.6</v>
      </c>
      <c r="AV85" s="30">
        <v>40.799999999999997</v>
      </c>
      <c r="AW85" s="30">
        <v>61.4</v>
      </c>
      <c r="AX85" s="30">
        <v>4.67</v>
      </c>
      <c r="AY85" s="30">
        <v>30.2</v>
      </c>
      <c r="AZ85" s="30">
        <v>2.83</v>
      </c>
      <c r="BA85" s="30">
        <v>11.1</v>
      </c>
      <c r="BB85" s="30">
        <v>40.4</v>
      </c>
      <c r="BC85" s="30">
        <v>66.599999999999994</v>
      </c>
      <c r="BD85" s="30">
        <v>2.68</v>
      </c>
      <c r="BE85" s="30">
        <v>6.04</v>
      </c>
      <c r="BF85" s="30">
        <v>17.7</v>
      </c>
      <c r="BG85" s="30">
        <v>-26.9</v>
      </c>
      <c r="BH85" s="30">
        <v>225</v>
      </c>
      <c r="BI85" s="30">
        <v>228</v>
      </c>
      <c r="BJ85" s="30">
        <v>231</v>
      </c>
      <c r="BK85" s="30">
        <v>223</v>
      </c>
      <c r="BL85" s="30">
        <v>141</v>
      </c>
      <c r="BM85" s="30">
        <v>1.95</v>
      </c>
    </row>
    <row r="86" spans="1:65" x14ac:dyDescent="0.5">
      <c r="A86" s="44">
        <v>184</v>
      </c>
      <c r="B86" s="30">
        <v>14</v>
      </c>
      <c r="C86" s="30">
        <v>11.9</v>
      </c>
      <c r="D86" s="30">
        <v>0.45</v>
      </c>
      <c r="E86" s="30">
        <v>41.9</v>
      </c>
      <c r="F86" s="30">
        <v>45.6</v>
      </c>
      <c r="G86" s="30">
        <v>65.8</v>
      </c>
      <c r="H86" s="30">
        <v>8.5999999999999993E-2</v>
      </c>
      <c r="I86" s="30">
        <v>2.4E-2</v>
      </c>
      <c r="J86" s="30">
        <v>0.75</v>
      </c>
      <c r="K86" s="30">
        <v>64.900000000000006</v>
      </c>
      <c r="L86" s="30">
        <v>24.9</v>
      </c>
      <c r="M86" s="30">
        <v>8.85</v>
      </c>
      <c r="N86" s="30">
        <v>25.2</v>
      </c>
      <c r="O86" s="30">
        <v>25.2</v>
      </c>
      <c r="P86" s="30">
        <v>36.700000000000003</v>
      </c>
      <c r="Q86" s="30">
        <v>55.9</v>
      </c>
      <c r="R86" s="30">
        <v>33.5</v>
      </c>
      <c r="S86" s="30">
        <v>11.1</v>
      </c>
      <c r="T86" s="30">
        <v>13.2</v>
      </c>
      <c r="U86" s="30">
        <v>42.1</v>
      </c>
      <c r="V86" s="30">
        <v>25.3</v>
      </c>
      <c r="W86" s="30">
        <v>9.64</v>
      </c>
      <c r="X86" s="30">
        <v>18.7</v>
      </c>
      <c r="Y86" s="30">
        <v>13.1</v>
      </c>
      <c r="Z86" s="30">
        <v>25.9</v>
      </c>
      <c r="AA86" s="30">
        <v>42.3</v>
      </c>
      <c r="AB86" s="30">
        <v>38.299999999999997</v>
      </c>
      <c r="AC86" s="30">
        <v>5.88</v>
      </c>
      <c r="AD86" s="30">
        <v>10.199999999999999</v>
      </c>
      <c r="AE86" s="30">
        <v>32.799999999999997</v>
      </c>
      <c r="AF86" s="30">
        <v>47.7</v>
      </c>
      <c r="AG86" s="36">
        <v>3.2299999999999998E-3</v>
      </c>
      <c r="AH86" s="30">
        <v>5.88</v>
      </c>
      <c r="AI86" s="30">
        <v>11.8</v>
      </c>
      <c r="AJ86" s="30">
        <v>35.299999999999997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50</v>
      </c>
      <c r="AS86" s="30">
        <v>50</v>
      </c>
      <c r="AT86" s="30">
        <v>0</v>
      </c>
      <c r="AU86" s="30">
        <v>0</v>
      </c>
      <c r="AV86" s="30">
        <v>0</v>
      </c>
      <c r="AW86" s="30">
        <v>100</v>
      </c>
      <c r="AX86" s="30">
        <v>0</v>
      </c>
      <c r="AY86" s="30">
        <v>0</v>
      </c>
      <c r="AZ86" s="30">
        <v>3.66</v>
      </c>
      <c r="BA86" s="30">
        <v>14.9</v>
      </c>
      <c r="BB86" s="30">
        <v>68.2</v>
      </c>
      <c r="BC86" s="30">
        <v>74.8</v>
      </c>
      <c r="BD86" s="30">
        <v>3.97</v>
      </c>
      <c r="BE86" s="30">
        <v>7.5</v>
      </c>
      <c r="BF86" s="30">
        <v>14.6</v>
      </c>
      <c r="BG86" s="30">
        <v>-68.400000000000006</v>
      </c>
      <c r="BH86" s="30">
        <v>162</v>
      </c>
      <c r="BI86" s="30">
        <v>225</v>
      </c>
      <c r="BJ86" s="30">
        <v>271</v>
      </c>
      <c r="BK86" s="30">
        <v>382</v>
      </c>
      <c r="BL86" s="30">
        <v>104</v>
      </c>
      <c r="BM86" s="30">
        <v>-7.43</v>
      </c>
    </row>
    <row r="87" spans="1:65" x14ac:dyDescent="0.5">
      <c r="A87" s="44">
        <v>185</v>
      </c>
      <c r="B87" s="30">
        <v>7.9</v>
      </c>
      <c r="C87" s="30">
        <v>18.2</v>
      </c>
      <c r="D87" s="30">
        <v>0.96</v>
      </c>
      <c r="E87" s="30">
        <v>32.299999999999997</v>
      </c>
      <c r="F87" s="30">
        <v>48.3</v>
      </c>
      <c r="G87" s="30">
        <v>69.3</v>
      </c>
      <c r="H87" s="30">
        <v>0.22</v>
      </c>
      <c r="I87" s="30">
        <v>0.75</v>
      </c>
      <c r="J87" s="30">
        <v>3.04</v>
      </c>
      <c r="K87" s="30">
        <v>64.400000000000006</v>
      </c>
      <c r="L87" s="30">
        <v>32.299999999999997</v>
      </c>
      <c r="M87" s="30">
        <v>7.79</v>
      </c>
      <c r="N87" s="30">
        <v>42</v>
      </c>
      <c r="O87" s="30">
        <v>34.200000000000003</v>
      </c>
      <c r="P87" s="30">
        <v>8.99</v>
      </c>
      <c r="Q87" s="30">
        <v>29.4</v>
      </c>
      <c r="R87" s="30">
        <v>23.4</v>
      </c>
      <c r="S87" s="30">
        <v>21.5</v>
      </c>
      <c r="T87" s="30">
        <v>36.5</v>
      </c>
      <c r="U87" s="30">
        <v>18.600000000000001</v>
      </c>
      <c r="V87" s="30">
        <v>47</v>
      </c>
      <c r="W87" s="30">
        <v>18.7</v>
      </c>
      <c r="X87" s="30">
        <v>16.100000000000001</v>
      </c>
      <c r="Y87" s="30">
        <v>23.1</v>
      </c>
      <c r="Z87" s="30">
        <v>35.200000000000003</v>
      </c>
      <c r="AA87" s="30">
        <v>25.6</v>
      </c>
      <c r="AB87" s="30">
        <v>30.4</v>
      </c>
      <c r="AC87" s="30">
        <v>5.04</v>
      </c>
      <c r="AD87" s="30">
        <v>6.75</v>
      </c>
      <c r="AE87" s="30">
        <v>37.9</v>
      </c>
      <c r="AF87" s="30">
        <v>44.7</v>
      </c>
      <c r="AG87" s="30">
        <v>16.5</v>
      </c>
      <c r="AH87" s="30">
        <v>2.75</v>
      </c>
      <c r="AI87" s="30">
        <v>2.46</v>
      </c>
      <c r="AJ87" s="30">
        <v>80.7</v>
      </c>
      <c r="AK87" s="30">
        <v>12.8</v>
      </c>
      <c r="AL87" s="30">
        <v>14.4</v>
      </c>
      <c r="AM87" s="30">
        <v>35.4</v>
      </c>
      <c r="AN87" s="30">
        <v>0.49</v>
      </c>
      <c r="AO87" s="30">
        <v>1.79</v>
      </c>
      <c r="AP87" s="30">
        <v>0.74</v>
      </c>
      <c r="AQ87" s="30">
        <v>1.45</v>
      </c>
      <c r="AR87" s="30">
        <v>75.900000000000006</v>
      </c>
      <c r="AS87" s="30">
        <v>21.7</v>
      </c>
      <c r="AT87" s="30">
        <v>0.18</v>
      </c>
      <c r="AU87" s="30">
        <v>79.5</v>
      </c>
      <c r="AV87" s="30">
        <v>18.899999999999999</v>
      </c>
      <c r="AW87" s="30">
        <v>37.700000000000003</v>
      </c>
      <c r="AX87" s="30">
        <v>3.76</v>
      </c>
      <c r="AY87" s="30">
        <v>50.8</v>
      </c>
      <c r="AZ87" s="30">
        <v>2.72</v>
      </c>
      <c r="BA87" s="30">
        <v>6.15</v>
      </c>
      <c r="BB87" s="30">
        <v>61.4</v>
      </c>
      <c r="BC87" s="30">
        <v>67.2</v>
      </c>
      <c r="BD87" s="30">
        <v>4.13</v>
      </c>
      <c r="BE87" s="30">
        <v>5.19</v>
      </c>
      <c r="BF87" s="30">
        <v>25.6</v>
      </c>
      <c r="BG87" s="30">
        <v>-71.900000000000006</v>
      </c>
      <c r="BH87" s="30">
        <v>186</v>
      </c>
      <c r="BI87" s="30">
        <v>187</v>
      </c>
      <c r="BJ87" s="30">
        <v>249</v>
      </c>
      <c r="BK87" s="30">
        <v>224</v>
      </c>
      <c r="BL87" s="30">
        <v>112</v>
      </c>
      <c r="BM87" s="30">
        <v>-2.57</v>
      </c>
    </row>
    <row r="88" spans="1:65" x14ac:dyDescent="0.5">
      <c r="A88" s="44">
        <v>186</v>
      </c>
      <c r="B88" s="30">
        <v>10.8</v>
      </c>
      <c r="C88" s="30">
        <v>6.43</v>
      </c>
      <c r="D88" s="30">
        <v>0.73</v>
      </c>
      <c r="E88" s="30">
        <v>52.9</v>
      </c>
      <c r="F88" s="30">
        <v>36.700000000000003</v>
      </c>
      <c r="G88" s="30">
        <v>84.5</v>
      </c>
      <c r="H88" s="36">
        <v>7.6600000000000001E-3</v>
      </c>
      <c r="I88" s="30">
        <v>0.12</v>
      </c>
      <c r="J88" s="30">
        <v>3.04</v>
      </c>
      <c r="K88" s="30">
        <v>81.099999999999994</v>
      </c>
      <c r="L88" s="30">
        <v>46.2</v>
      </c>
      <c r="M88" s="30">
        <v>13.1</v>
      </c>
      <c r="N88" s="30">
        <v>54.4</v>
      </c>
      <c r="O88" s="30">
        <v>17.5</v>
      </c>
      <c r="P88" s="30">
        <v>9.6300000000000008</v>
      </c>
      <c r="Q88" s="30">
        <v>27.7</v>
      </c>
      <c r="R88" s="30">
        <v>36.1</v>
      </c>
      <c r="S88" s="30">
        <v>10.1</v>
      </c>
      <c r="T88" s="30">
        <v>28</v>
      </c>
      <c r="U88" s="30">
        <v>25.8</v>
      </c>
      <c r="V88" s="30">
        <v>55.6</v>
      </c>
      <c r="W88" s="30">
        <v>3.83</v>
      </c>
      <c r="X88" s="30">
        <v>15.1</v>
      </c>
      <c r="Y88" s="30">
        <v>21.9</v>
      </c>
      <c r="Z88" s="30">
        <v>34.299999999999997</v>
      </c>
      <c r="AA88" s="30">
        <v>28.7</v>
      </c>
      <c r="AB88" s="30">
        <v>32.9</v>
      </c>
      <c r="AC88" s="30">
        <v>2.85</v>
      </c>
      <c r="AD88" s="30">
        <v>5.53</v>
      </c>
      <c r="AE88" s="30">
        <v>8.59</v>
      </c>
      <c r="AF88" s="30">
        <v>82.5</v>
      </c>
      <c r="AG88" s="30">
        <v>2.02</v>
      </c>
      <c r="AH88" s="30">
        <v>32.6</v>
      </c>
      <c r="AI88" s="30">
        <v>0.82</v>
      </c>
      <c r="AJ88" s="30">
        <v>2.08</v>
      </c>
      <c r="AK88" s="30">
        <v>52.8</v>
      </c>
      <c r="AL88" s="30">
        <v>37.299999999999997</v>
      </c>
      <c r="AM88" s="30">
        <v>23.6</v>
      </c>
      <c r="AN88" s="30">
        <v>9.64</v>
      </c>
      <c r="AO88" s="30">
        <v>1.79</v>
      </c>
      <c r="AP88" s="30">
        <v>1.72</v>
      </c>
      <c r="AQ88" s="30">
        <v>1.19</v>
      </c>
      <c r="AR88" s="30">
        <v>62.9</v>
      </c>
      <c r="AS88" s="30">
        <v>25.7</v>
      </c>
      <c r="AT88" s="30">
        <v>11.1</v>
      </c>
      <c r="AU88" s="30">
        <v>83.5</v>
      </c>
      <c r="AV88" s="30">
        <v>15.6</v>
      </c>
      <c r="AW88" s="30">
        <v>12.7</v>
      </c>
      <c r="AX88" s="30">
        <v>14.5</v>
      </c>
      <c r="AY88" s="30">
        <v>69.099999999999994</v>
      </c>
      <c r="AZ88" s="30">
        <v>0.22</v>
      </c>
      <c r="BA88" s="30">
        <v>15</v>
      </c>
      <c r="BB88" s="30">
        <v>40.5</v>
      </c>
      <c r="BC88" s="30">
        <v>47.6</v>
      </c>
      <c r="BD88" s="30">
        <v>0.33</v>
      </c>
      <c r="BE88" s="30">
        <v>2.23</v>
      </c>
      <c r="BF88" s="30">
        <v>4.46</v>
      </c>
      <c r="BG88" s="30">
        <v>-19.600000000000001</v>
      </c>
      <c r="BH88" s="30">
        <v>493</v>
      </c>
      <c r="BI88" s="30">
        <v>412</v>
      </c>
      <c r="BJ88" s="30">
        <v>610</v>
      </c>
      <c r="BK88" s="30">
        <v>671</v>
      </c>
      <c r="BL88" s="30">
        <v>377</v>
      </c>
      <c r="BM88" s="30">
        <v>-16.7</v>
      </c>
    </row>
    <row r="89" spans="1:65" x14ac:dyDescent="0.5">
      <c r="A89" s="44">
        <v>187</v>
      </c>
      <c r="B89" s="30">
        <v>21.4</v>
      </c>
      <c r="C89" s="30">
        <v>2.81</v>
      </c>
      <c r="D89" s="30">
        <v>0.25</v>
      </c>
      <c r="E89" s="30">
        <v>29.2</v>
      </c>
      <c r="F89" s="30">
        <v>67.7</v>
      </c>
      <c r="G89" s="30">
        <v>50.3</v>
      </c>
      <c r="H89" s="30">
        <v>0.05</v>
      </c>
      <c r="I89" s="30">
        <v>1.65</v>
      </c>
      <c r="J89" s="30">
        <v>3.82</v>
      </c>
      <c r="K89" s="30">
        <v>45.6</v>
      </c>
      <c r="L89" s="30">
        <v>33.299999999999997</v>
      </c>
      <c r="M89" s="30">
        <v>4.99</v>
      </c>
      <c r="N89" s="30">
        <v>32.200000000000003</v>
      </c>
      <c r="O89" s="30">
        <v>33.299999999999997</v>
      </c>
      <c r="P89" s="30">
        <v>23.1</v>
      </c>
      <c r="Q89" s="30">
        <v>48.2</v>
      </c>
      <c r="R89" s="30">
        <v>21.5</v>
      </c>
      <c r="S89" s="30">
        <v>18.2</v>
      </c>
      <c r="T89" s="30">
        <v>50.6</v>
      </c>
      <c r="U89" s="30">
        <v>9.67</v>
      </c>
      <c r="V89" s="30">
        <v>23.1</v>
      </c>
      <c r="W89" s="30">
        <v>12.3</v>
      </c>
      <c r="X89" s="30">
        <v>28.1</v>
      </c>
      <c r="Y89" s="30">
        <v>11.3</v>
      </c>
      <c r="Z89" s="30">
        <v>34.6</v>
      </c>
      <c r="AA89" s="30">
        <v>25.9</v>
      </c>
      <c r="AB89" s="30">
        <v>11.7</v>
      </c>
      <c r="AC89" s="30">
        <v>13.4</v>
      </c>
      <c r="AD89" s="30">
        <v>27.7</v>
      </c>
      <c r="AE89" s="30">
        <v>27.2</v>
      </c>
      <c r="AF89" s="30">
        <v>21.2</v>
      </c>
      <c r="AG89" s="30">
        <v>15.4</v>
      </c>
      <c r="AH89" s="30">
        <v>4.22</v>
      </c>
      <c r="AI89" s="30">
        <v>31.2</v>
      </c>
      <c r="AJ89" s="30">
        <v>53.7</v>
      </c>
      <c r="AK89" s="30">
        <v>4.03</v>
      </c>
      <c r="AL89" s="30">
        <v>38.299999999999997</v>
      </c>
      <c r="AM89" s="30">
        <v>30.8</v>
      </c>
      <c r="AN89" s="30">
        <v>0.77</v>
      </c>
      <c r="AO89" s="30">
        <v>0.88</v>
      </c>
      <c r="AP89" s="30">
        <v>3.09</v>
      </c>
      <c r="AQ89" s="30">
        <v>4.83</v>
      </c>
      <c r="AR89" s="30">
        <v>68.7</v>
      </c>
      <c r="AS89" s="30">
        <v>29.4</v>
      </c>
      <c r="AT89" s="30">
        <v>1.85</v>
      </c>
      <c r="AU89" s="30">
        <v>73.7</v>
      </c>
      <c r="AV89" s="30">
        <v>20</v>
      </c>
      <c r="AW89" s="30">
        <v>19.8</v>
      </c>
      <c r="AX89" s="30">
        <v>2.44</v>
      </c>
      <c r="AY89" s="30">
        <v>74.099999999999994</v>
      </c>
      <c r="AZ89" s="30">
        <v>1.35</v>
      </c>
      <c r="BA89" s="30">
        <v>9.4600000000000009</v>
      </c>
      <c r="BB89" s="30">
        <v>53.2</v>
      </c>
      <c r="BC89" s="30">
        <v>50.5</v>
      </c>
      <c r="BD89" s="30">
        <v>3.41</v>
      </c>
      <c r="BE89" s="30">
        <v>3.54</v>
      </c>
      <c r="BF89" s="30">
        <v>10.3</v>
      </c>
      <c r="BG89" s="30">
        <v>30.4</v>
      </c>
      <c r="BH89" s="30">
        <v>195</v>
      </c>
      <c r="BI89" s="30">
        <v>113</v>
      </c>
      <c r="BJ89" s="30">
        <v>303</v>
      </c>
      <c r="BK89" s="30">
        <v>924</v>
      </c>
      <c r="BL89" s="30">
        <v>319</v>
      </c>
      <c r="BM89" s="30">
        <v>-20.6</v>
      </c>
    </row>
    <row r="90" spans="1:65" x14ac:dyDescent="0.5">
      <c r="A90" s="44">
        <v>188</v>
      </c>
      <c r="B90" s="30">
        <v>5.3</v>
      </c>
      <c r="C90" s="30">
        <v>20.5</v>
      </c>
      <c r="D90" s="30">
        <v>3.83</v>
      </c>
      <c r="E90" s="30">
        <v>29.9</v>
      </c>
      <c r="F90" s="30">
        <v>45.3</v>
      </c>
      <c r="G90" s="30">
        <v>78.599999999999994</v>
      </c>
      <c r="H90" s="30">
        <v>4.9000000000000002E-2</v>
      </c>
      <c r="I90" s="30">
        <v>0.61</v>
      </c>
      <c r="J90" s="30">
        <v>2.6</v>
      </c>
      <c r="K90" s="30">
        <v>75.400000000000006</v>
      </c>
      <c r="L90" s="30">
        <v>47</v>
      </c>
      <c r="M90" s="30">
        <v>5.07</v>
      </c>
      <c r="N90" s="30">
        <v>28.5</v>
      </c>
      <c r="O90" s="30">
        <v>23.9</v>
      </c>
      <c r="P90" s="30">
        <v>39.5</v>
      </c>
      <c r="Q90" s="30">
        <v>58.6</v>
      </c>
      <c r="R90" s="30">
        <v>44.8</v>
      </c>
      <c r="S90" s="30">
        <v>13.7</v>
      </c>
      <c r="T90" s="30">
        <v>29.4</v>
      </c>
      <c r="U90" s="30">
        <v>12.1</v>
      </c>
      <c r="V90" s="30">
        <v>28.7</v>
      </c>
      <c r="W90" s="30">
        <v>7.55</v>
      </c>
      <c r="X90" s="30">
        <v>23.2</v>
      </c>
      <c r="Y90" s="30">
        <v>14.7</v>
      </c>
      <c r="Z90" s="30">
        <v>49.5</v>
      </c>
      <c r="AA90" s="30">
        <v>12.6</v>
      </c>
      <c r="AB90" s="30">
        <v>26.7</v>
      </c>
      <c r="AC90" s="30">
        <v>9.5299999999999994</v>
      </c>
      <c r="AD90" s="30">
        <v>33.200000000000003</v>
      </c>
      <c r="AE90" s="30">
        <v>22.9</v>
      </c>
      <c r="AF90" s="30">
        <v>30.3</v>
      </c>
      <c r="AG90" s="30">
        <v>7.27</v>
      </c>
      <c r="AH90" s="30">
        <v>5.23</v>
      </c>
      <c r="AI90" s="30">
        <v>41.8</v>
      </c>
      <c r="AJ90" s="30">
        <v>45.8</v>
      </c>
      <c r="AK90" s="30">
        <v>0.98</v>
      </c>
      <c r="AL90" s="30">
        <v>13.2</v>
      </c>
      <c r="AM90" s="30">
        <v>28</v>
      </c>
      <c r="AN90" s="30">
        <v>2.4900000000000002</v>
      </c>
      <c r="AO90" s="30">
        <v>4.7699999999999996</v>
      </c>
      <c r="AP90" s="30">
        <v>2.54</v>
      </c>
      <c r="AQ90" s="30">
        <v>25.4</v>
      </c>
      <c r="AR90" s="30">
        <v>73.3</v>
      </c>
      <c r="AS90" s="30">
        <v>16.899999999999999</v>
      </c>
      <c r="AT90" s="30">
        <v>9.14</v>
      </c>
      <c r="AU90" s="30">
        <v>66</v>
      </c>
      <c r="AV90" s="30">
        <v>5.08</v>
      </c>
      <c r="AW90" s="30">
        <v>33.1</v>
      </c>
      <c r="AX90" s="30">
        <v>12.8</v>
      </c>
      <c r="AY90" s="30">
        <v>52.2</v>
      </c>
      <c r="AZ90" s="30">
        <v>1.95</v>
      </c>
      <c r="BA90" s="30">
        <v>13.7</v>
      </c>
      <c r="BB90" s="30">
        <v>68.7</v>
      </c>
      <c r="BC90" s="30">
        <v>69.5</v>
      </c>
      <c r="BD90" s="30">
        <v>2.33</v>
      </c>
      <c r="BE90" s="30">
        <v>6.72</v>
      </c>
      <c r="BF90" s="30">
        <v>63.5</v>
      </c>
      <c r="BG90" s="30">
        <v>-60.4</v>
      </c>
      <c r="BH90" s="30">
        <v>435</v>
      </c>
      <c r="BI90" s="30">
        <v>706</v>
      </c>
      <c r="BJ90" s="30">
        <v>242</v>
      </c>
      <c r="BK90" s="30">
        <v>608</v>
      </c>
      <c r="BL90" s="30">
        <v>398</v>
      </c>
      <c r="BM90" s="30">
        <v>-19.7</v>
      </c>
    </row>
    <row r="91" spans="1:65" x14ac:dyDescent="0.5">
      <c r="A91" s="44">
        <v>189</v>
      </c>
      <c r="B91" s="30">
        <v>7.56</v>
      </c>
      <c r="C91" s="30">
        <v>3.47</v>
      </c>
      <c r="D91" s="30">
        <v>0.31</v>
      </c>
      <c r="E91" s="30">
        <v>30.4</v>
      </c>
      <c r="F91" s="30">
        <v>65.8</v>
      </c>
      <c r="G91" s="30">
        <v>60.4</v>
      </c>
      <c r="H91" s="30">
        <v>0.13</v>
      </c>
      <c r="I91" s="30">
        <v>0.22</v>
      </c>
      <c r="J91" s="30">
        <v>1.6</v>
      </c>
      <c r="K91" s="30">
        <v>58.4</v>
      </c>
      <c r="L91" s="30">
        <v>26.4</v>
      </c>
      <c r="M91" s="30">
        <v>10.199999999999999</v>
      </c>
      <c r="N91" s="30">
        <v>33.9</v>
      </c>
      <c r="O91" s="30">
        <v>20.7</v>
      </c>
      <c r="P91" s="30">
        <v>26</v>
      </c>
      <c r="Q91" s="30">
        <v>45</v>
      </c>
      <c r="R91" s="30">
        <v>41.7</v>
      </c>
      <c r="S91" s="30">
        <v>7.76</v>
      </c>
      <c r="T91" s="30">
        <v>36.200000000000003</v>
      </c>
      <c r="U91" s="30">
        <v>14.4</v>
      </c>
      <c r="V91" s="30">
        <v>30.2</v>
      </c>
      <c r="W91" s="30">
        <v>6.93</v>
      </c>
      <c r="X91" s="30">
        <v>23.8</v>
      </c>
      <c r="Y91" s="30">
        <v>8.6999999999999993</v>
      </c>
      <c r="Z91" s="30">
        <v>50.9</v>
      </c>
      <c r="AA91" s="30">
        <v>16.5</v>
      </c>
      <c r="AB91" s="30">
        <v>29.8</v>
      </c>
      <c r="AC91" s="30">
        <v>1.01</v>
      </c>
      <c r="AD91" s="30">
        <v>21.2</v>
      </c>
      <c r="AE91" s="30">
        <v>64.5</v>
      </c>
      <c r="AF91" s="30">
        <v>12.2</v>
      </c>
      <c r="AG91" s="30">
        <v>23</v>
      </c>
      <c r="AH91" s="30">
        <v>16.3</v>
      </c>
      <c r="AI91" s="30">
        <v>9.1</v>
      </c>
      <c r="AJ91" s="30">
        <v>32.5</v>
      </c>
      <c r="AK91" s="30">
        <v>38.799999999999997</v>
      </c>
      <c r="AL91" s="30">
        <v>16.3</v>
      </c>
      <c r="AM91" s="30">
        <v>50.1</v>
      </c>
      <c r="AN91" s="30">
        <v>1.43</v>
      </c>
      <c r="AO91" s="30">
        <v>4.79</v>
      </c>
      <c r="AP91" s="30">
        <v>0.23</v>
      </c>
      <c r="AQ91" s="30">
        <v>1.51</v>
      </c>
      <c r="AR91" s="30">
        <v>95.5</v>
      </c>
      <c r="AS91" s="30">
        <v>0.26</v>
      </c>
      <c r="AT91" s="30">
        <v>2.4500000000000002</v>
      </c>
      <c r="AU91" s="30">
        <v>99.2</v>
      </c>
      <c r="AV91" s="30">
        <v>2.5000000000000001E-2</v>
      </c>
      <c r="AW91" s="30">
        <v>20.5</v>
      </c>
      <c r="AX91" s="30">
        <v>26.9</v>
      </c>
      <c r="AY91" s="30">
        <v>50.1</v>
      </c>
      <c r="AZ91" s="30">
        <v>7.63</v>
      </c>
      <c r="BA91" s="30">
        <v>63.7</v>
      </c>
      <c r="BB91" s="30">
        <v>93.1</v>
      </c>
      <c r="BC91" s="30">
        <v>94.4</v>
      </c>
      <c r="BD91" s="30">
        <v>6.91</v>
      </c>
      <c r="BE91" s="30">
        <v>18.5</v>
      </c>
      <c r="BF91" s="30">
        <v>32.5</v>
      </c>
      <c r="BG91" s="30">
        <v>65.2</v>
      </c>
      <c r="BH91" s="30">
        <v>574</v>
      </c>
      <c r="BI91" s="30">
        <v>677</v>
      </c>
      <c r="BJ91" s="30">
        <v>440</v>
      </c>
      <c r="BK91" s="30">
        <v>383</v>
      </c>
      <c r="BL91" s="30">
        <v>225</v>
      </c>
      <c r="BM91" s="30">
        <v>21.4</v>
      </c>
    </row>
    <row r="92" spans="1:65" x14ac:dyDescent="0.5">
      <c r="A92" s="44">
        <v>190</v>
      </c>
      <c r="B92" s="30">
        <v>13.2</v>
      </c>
      <c r="C92" s="30">
        <v>2.5499999999999998</v>
      </c>
      <c r="D92" s="30">
        <v>0.23</v>
      </c>
      <c r="E92" s="30">
        <v>14</v>
      </c>
      <c r="F92" s="30">
        <v>83.2</v>
      </c>
      <c r="G92" s="30">
        <v>61.4</v>
      </c>
      <c r="H92" s="30">
        <v>2.5000000000000001E-2</v>
      </c>
      <c r="I92" s="30">
        <v>0.13</v>
      </c>
      <c r="J92" s="30">
        <v>2.72</v>
      </c>
      <c r="K92" s="30">
        <v>57.6</v>
      </c>
      <c r="L92" s="30">
        <v>34</v>
      </c>
      <c r="M92" s="30">
        <v>5.07</v>
      </c>
      <c r="N92" s="30">
        <v>39.299999999999997</v>
      </c>
      <c r="O92" s="30">
        <v>26.4</v>
      </c>
      <c r="P92" s="30">
        <v>25.8</v>
      </c>
      <c r="Q92" s="30">
        <v>53.1</v>
      </c>
      <c r="R92" s="30">
        <v>69.2</v>
      </c>
      <c r="S92" s="30">
        <v>1.57</v>
      </c>
      <c r="T92" s="30">
        <v>8.58</v>
      </c>
      <c r="U92" s="30">
        <v>20.7</v>
      </c>
      <c r="V92" s="30">
        <v>39</v>
      </c>
      <c r="W92" s="30">
        <v>2.0499999999999998</v>
      </c>
      <c r="X92" s="30">
        <v>53.9</v>
      </c>
      <c r="Y92" s="30">
        <v>3.35</v>
      </c>
      <c r="Z92" s="30">
        <v>21.1</v>
      </c>
      <c r="AA92" s="30">
        <v>21.6</v>
      </c>
      <c r="AB92" s="30">
        <v>21.8</v>
      </c>
      <c r="AC92" s="30">
        <v>8.1300000000000008</v>
      </c>
      <c r="AD92" s="30">
        <v>17</v>
      </c>
      <c r="AE92" s="30">
        <v>43.9</v>
      </c>
      <c r="AF92" s="30">
        <v>26.6</v>
      </c>
      <c r="AG92" s="30">
        <v>11.8</v>
      </c>
      <c r="AH92" s="30">
        <v>12.6</v>
      </c>
      <c r="AI92" s="30">
        <v>22</v>
      </c>
      <c r="AJ92" s="30">
        <v>55.5</v>
      </c>
      <c r="AK92" s="30">
        <v>8.24</v>
      </c>
      <c r="AL92" s="30">
        <v>23.8</v>
      </c>
      <c r="AM92" s="30">
        <v>38.799999999999997</v>
      </c>
      <c r="AN92" s="30">
        <v>0.56999999999999995</v>
      </c>
      <c r="AO92" s="30">
        <v>1.75</v>
      </c>
      <c r="AP92" s="30">
        <v>1.04</v>
      </c>
      <c r="AQ92" s="30">
        <v>0.67</v>
      </c>
      <c r="AR92" s="30">
        <v>67.900000000000006</v>
      </c>
      <c r="AS92" s="30">
        <v>29.4</v>
      </c>
      <c r="AT92" s="30">
        <v>0.35</v>
      </c>
      <c r="AU92" s="30">
        <v>62.2</v>
      </c>
      <c r="AV92" s="30">
        <v>36.5</v>
      </c>
      <c r="AW92" s="30">
        <v>21.6</v>
      </c>
      <c r="AX92" s="30">
        <v>6.24</v>
      </c>
      <c r="AY92" s="30">
        <v>66.2</v>
      </c>
      <c r="AZ92" s="30">
        <v>3.27</v>
      </c>
      <c r="BA92" s="30">
        <v>12.2</v>
      </c>
      <c r="BB92" s="30">
        <v>56.4</v>
      </c>
      <c r="BC92" s="30">
        <v>67.099999999999994</v>
      </c>
      <c r="BD92" s="30">
        <v>3.94</v>
      </c>
      <c r="BE92" s="30">
        <v>6.81</v>
      </c>
      <c r="BF92" s="30">
        <v>28</v>
      </c>
      <c r="BG92" s="30">
        <v>-43.7</v>
      </c>
      <c r="BH92" s="30">
        <v>213</v>
      </c>
      <c r="BI92" s="30">
        <v>110</v>
      </c>
      <c r="BJ92" s="30">
        <v>220</v>
      </c>
      <c r="BK92" s="30">
        <v>225</v>
      </c>
      <c r="BL92" s="30">
        <v>93.5</v>
      </c>
      <c r="BM92" s="30">
        <v>3.45</v>
      </c>
    </row>
    <row r="93" spans="1:65" x14ac:dyDescent="0.5">
      <c r="A93" s="44">
        <v>191</v>
      </c>
      <c r="B93" s="30">
        <v>3.49</v>
      </c>
      <c r="C93" s="30">
        <v>16.100000000000001</v>
      </c>
      <c r="D93" s="30">
        <v>0.36</v>
      </c>
      <c r="E93" s="30">
        <v>72.2</v>
      </c>
      <c r="F93" s="30">
        <v>11.4</v>
      </c>
      <c r="G93" s="30">
        <v>71.7</v>
      </c>
      <c r="H93" s="30">
        <v>1.7999999999999999E-2</v>
      </c>
      <c r="I93" s="30">
        <v>0.19</v>
      </c>
      <c r="J93" s="30">
        <v>1.05</v>
      </c>
      <c r="K93" s="30">
        <v>70.400000000000006</v>
      </c>
      <c r="L93" s="30">
        <v>39.4</v>
      </c>
      <c r="M93" s="30">
        <v>4.8899999999999997</v>
      </c>
      <c r="N93" s="30">
        <v>64.400000000000006</v>
      </c>
      <c r="O93" s="30">
        <v>16.399999999999999</v>
      </c>
      <c r="P93" s="30">
        <v>9.33</v>
      </c>
      <c r="Q93" s="30">
        <v>23</v>
      </c>
      <c r="R93" s="30">
        <v>35.700000000000003</v>
      </c>
      <c r="S93" s="30">
        <v>13.8</v>
      </c>
      <c r="T93" s="30">
        <v>28.9</v>
      </c>
      <c r="U93" s="30">
        <v>21.6</v>
      </c>
      <c r="V93" s="30">
        <v>66.900000000000006</v>
      </c>
      <c r="W93" s="30">
        <v>6.15</v>
      </c>
      <c r="X93" s="30">
        <v>37.9</v>
      </c>
      <c r="Y93" s="30">
        <v>8.99</v>
      </c>
      <c r="Z93" s="30">
        <v>27.8</v>
      </c>
      <c r="AA93" s="30">
        <v>25.3</v>
      </c>
      <c r="AB93" s="30">
        <v>30</v>
      </c>
      <c r="AC93" s="30">
        <v>1.05</v>
      </c>
      <c r="AD93" s="30">
        <v>0.93</v>
      </c>
      <c r="AE93" s="30">
        <v>0.83</v>
      </c>
      <c r="AF93" s="30">
        <v>96</v>
      </c>
      <c r="AG93" s="30">
        <v>22.5</v>
      </c>
      <c r="AH93" s="30">
        <v>7.17</v>
      </c>
      <c r="AI93" s="30">
        <v>2.57</v>
      </c>
      <c r="AJ93" s="30">
        <v>38.200000000000003</v>
      </c>
      <c r="AK93" s="30">
        <v>50.2</v>
      </c>
      <c r="AL93" s="30">
        <v>28.7</v>
      </c>
      <c r="AM93" s="30">
        <v>39.1</v>
      </c>
      <c r="AN93" s="30">
        <v>0.43</v>
      </c>
      <c r="AO93" s="30">
        <v>1.01</v>
      </c>
      <c r="AP93" s="30">
        <v>0.27</v>
      </c>
      <c r="AQ93" s="30">
        <v>9.6000000000000002E-2</v>
      </c>
      <c r="AR93" s="30">
        <v>79.7</v>
      </c>
      <c r="AS93" s="30">
        <v>19</v>
      </c>
      <c r="AT93" s="30">
        <v>1.31</v>
      </c>
      <c r="AU93" s="30">
        <v>81.7</v>
      </c>
      <c r="AV93" s="30">
        <v>18.100000000000001</v>
      </c>
      <c r="AW93" s="30">
        <v>11.5</v>
      </c>
      <c r="AX93" s="30">
        <v>7.34</v>
      </c>
      <c r="AY93" s="30">
        <v>77.5</v>
      </c>
      <c r="AZ93" s="30">
        <v>0.92</v>
      </c>
      <c r="BA93" s="30">
        <v>2.2200000000000002</v>
      </c>
      <c r="BB93" s="30">
        <v>9</v>
      </c>
      <c r="BC93" s="30">
        <v>3.62</v>
      </c>
      <c r="BD93" s="30">
        <v>5.71</v>
      </c>
      <c r="BE93" s="30">
        <v>4.13</v>
      </c>
      <c r="BF93" s="30">
        <v>5.82</v>
      </c>
      <c r="BG93" s="30">
        <v>-86.3</v>
      </c>
      <c r="BH93" s="30">
        <v>202</v>
      </c>
      <c r="BI93" s="30">
        <v>155</v>
      </c>
      <c r="BJ93" s="30">
        <v>285</v>
      </c>
      <c r="BK93" s="30">
        <v>791</v>
      </c>
      <c r="BL93" s="30">
        <v>199</v>
      </c>
      <c r="BM93" s="30">
        <v>-24.1</v>
      </c>
    </row>
    <row r="94" spans="1:65" x14ac:dyDescent="0.5">
      <c r="A94" s="44">
        <v>192</v>
      </c>
      <c r="B94" s="30">
        <v>5.97</v>
      </c>
      <c r="C94" s="30">
        <v>15.1</v>
      </c>
      <c r="D94" s="30">
        <v>0.49</v>
      </c>
      <c r="E94" s="30">
        <v>40.5</v>
      </c>
      <c r="F94" s="30">
        <v>43.7</v>
      </c>
      <c r="G94" s="30">
        <v>70.900000000000006</v>
      </c>
      <c r="H94" s="30">
        <v>4.5999999999999999E-2</v>
      </c>
      <c r="I94" s="30">
        <v>0.52</v>
      </c>
      <c r="J94" s="30">
        <v>2.52</v>
      </c>
      <c r="K94" s="30">
        <v>67.8</v>
      </c>
      <c r="L94" s="30">
        <v>40.200000000000003</v>
      </c>
      <c r="M94" s="30">
        <v>7.57</v>
      </c>
      <c r="N94" s="30">
        <v>57.5</v>
      </c>
      <c r="O94" s="30">
        <v>19.7</v>
      </c>
      <c r="P94" s="30">
        <v>10.8</v>
      </c>
      <c r="Q94" s="30">
        <v>24.7</v>
      </c>
      <c r="R94" s="30">
        <v>39.200000000000003</v>
      </c>
      <c r="S94" s="30">
        <v>13</v>
      </c>
      <c r="T94" s="30">
        <v>33.4</v>
      </c>
      <c r="U94" s="30">
        <v>14.5</v>
      </c>
      <c r="V94" s="30">
        <v>60</v>
      </c>
      <c r="W94" s="30">
        <v>8.7100000000000009</v>
      </c>
      <c r="X94" s="30">
        <v>31.3</v>
      </c>
      <c r="Y94" s="30">
        <v>9.0500000000000007</v>
      </c>
      <c r="Z94" s="30">
        <v>43.3</v>
      </c>
      <c r="AA94" s="30">
        <v>16.3</v>
      </c>
      <c r="AB94" s="30">
        <v>25.5</v>
      </c>
      <c r="AC94" s="30">
        <v>2.67</v>
      </c>
      <c r="AD94" s="30">
        <v>6.73</v>
      </c>
      <c r="AE94" s="30">
        <v>20.5</v>
      </c>
      <c r="AF94" s="30">
        <v>67.8</v>
      </c>
      <c r="AG94" s="30">
        <v>19.100000000000001</v>
      </c>
      <c r="AH94" s="30">
        <v>6.8</v>
      </c>
      <c r="AI94" s="30">
        <v>8.44</v>
      </c>
      <c r="AJ94" s="30">
        <v>59</v>
      </c>
      <c r="AK94" s="30">
        <v>22.5</v>
      </c>
      <c r="AL94" s="30">
        <v>16.899999999999999</v>
      </c>
      <c r="AM94" s="30">
        <v>44.9</v>
      </c>
      <c r="AN94" s="30">
        <v>0.51</v>
      </c>
      <c r="AO94" s="30">
        <v>2.14</v>
      </c>
      <c r="AP94" s="30">
        <v>0.35</v>
      </c>
      <c r="AQ94" s="30">
        <v>0.65</v>
      </c>
      <c r="AR94" s="30">
        <v>56.1</v>
      </c>
      <c r="AS94" s="30">
        <v>40.799999999999997</v>
      </c>
      <c r="AT94" s="30">
        <v>2.98</v>
      </c>
      <c r="AU94" s="30">
        <v>77.900000000000006</v>
      </c>
      <c r="AV94" s="30">
        <v>21.3</v>
      </c>
      <c r="AW94" s="30">
        <v>20</v>
      </c>
      <c r="AX94" s="30">
        <v>6.76</v>
      </c>
      <c r="AY94" s="30">
        <v>69.099999999999994</v>
      </c>
      <c r="AZ94" s="30">
        <v>0.82</v>
      </c>
      <c r="BA94" s="30">
        <v>13.3</v>
      </c>
      <c r="BB94" s="30">
        <v>47.4</v>
      </c>
      <c r="BC94" s="30">
        <v>72.2</v>
      </c>
      <c r="BD94" s="30">
        <v>2.31</v>
      </c>
      <c r="BE94" s="30">
        <v>4.92</v>
      </c>
      <c r="BF94" s="30">
        <v>16.5</v>
      </c>
      <c r="BG94" s="30">
        <v>-86.6</v>
      </c>
      <c r="BH94" s="30">
        <v>338</v>
      </c>
      <c r="BI94" s="30">
        <v>446</v>
      </c>
      <c r="BJ94" s="30">
        <v>496</v>
      </c>
      <c r="BK94" s="30">
        <v>859</v>
      </c>
      <c r="BL94" s="30">
        <v>205</v>
      </c>
      <c r="BM94" s="30">
        <v>-23</v>
      </c>
    </row>
    <row r="95" spans="1:65" x14ac:dyDescent="0.5">
      <c r="A95" s="44">
        <v>193</v>
      </c>
      <c r="B95" s="30">
        <v>12.8</v>
      </c>
      <c r="C95" s="30">
        <v>1.79</v>
      </c>
      <c r="D95" s="30">
        <v>0.31</v>
      </c>
      <c r="E95" s="30">
        <v>16.3</v>
      </c>
      <c r="F95" s="30">
        <v>78.3</v>
      </c>
      <c r="G95" s="30">
        <v>70.900000000000006</v>
      </c>
      <c r="H95" s="30">
        <v>2.1000000000000001E-2</v>
      </c>
      <c r="I95" s="30">
        <v>0.18</v>
      </c>
      <c r="J95" s="30">
        <v>2.98</v>
      </c>
      <c r="K95" s="30">
        <v>67.599999999999994</v>
      </c>
      <c r="L95" s="30">
        <v>31.6</v>
      </c>
      <c r="M95" s="30">
        <v>18.8</v>
      </c>
      <c r="N95" s="30">
        <v>24.4</v>
      </c>
      <c r="O95" s="30">
        <v>19.899999999999999</v>
      </c>
      <c r="P95" s="30">
        <v>31.5</v>
      </c>
      <c r="Q95" s="30">
        <v>47.8</v>
      </c>
      <c r="R95" s="30">
        <v>29.4</v>
      </c>
      <c r="S95" s="30">
        <v>15.7</v>
      </c>
      <c r="T95" s="30">
        <v>27.5</v>
      </c>
      <c r="U95" s="30">
        <v>27.4</v>
      </c>
      <c r="V95" s="30">
        <v>24.1</v>
      </c>
      <c r="W95" s="30">
        <v>6.47</v>
      </c>
      <c r="X95" s="30">
        <v>19.3</v>
      </c>
      <c r="Y95" s="30">
        <v>15.9</v>
      </c>
      <c r="Z95" s="30">
        <v>35.700000000000003</v>
      </c>
      <c r="AA95" s="30">
        <v>29.1</v>
      </c>
      <c r="AB95" s="30">
        <v>34.799999999999997</v>
      </c>
      <c r="AC95" s="30">
        <v>1.83</v>
      </c>
      <c r="AD95" s="30">
        <v>17.2</v>
      </c>
      <c r="AE95" s="30">
        <v>63.4</v>
      </c>
      <c r="AF95" s="30">
        <v>15.2</v>
      </c>
      <c r="AG95" s="30">
        <v>12.3</v>
      </c>
      <c r="AH95" s="30">
        <v>9.41</v>
      </c>
      <c r="AI95" s="30">
        <v>5.44</v>
      </c>
      <c r="AJ95" s="30">
        <v>52.2</v>
      </c>
      <c r="AK95" s="30">
        <v>26.7</v>
      </c>
      <c r="AL95" s="30">
        <v>20</v>
      </c>
      <c r="AM95" s="30">
        <v>25.1</v>
      </c>
      <c r="AN95" s="30">
        <v>0.27</v>
      </c>
      <c r="AO95" s="30">
        <v>0.42</v>
      </c>
      <c r="AP95" s="30">
        <v>0.95</v>
      </c>
      <c r="AQ95" s="30">
        <v>1.49</v>
      </c>
      <c r="AR95" s="30">
        <v>63.4</v>
      </c>
      <c r="AS95" s="30">
        <v>35.799999999999997</v>
      </c>
      <c r="AT95" s="30">
        <v>0.74</v>
      </c>
      <c r="AU95" s="30">
        <v>72.400000000000006</v>
      </c>
      <c r="AV95" s="30">
        <v>26</v>
      </c>
      <c r="AW95" s="30">
        <v>26.7</v>
      </c>
      <c r="AX95" s="30">
        <v>11.9</v>
      </c>
      <c r="AY95" s="30">
        <v>53.6</v>
      </c>
      <c r="AZ95" s="30">
        <v>0.57999999999999996</v>
      </c>
      <c r="BA95" s="30">
        <v>14.3</v>
      </c>
      <c r="BB95" s="30">
        <v>61.4</v>
      </c>
      <c r="BC95" s="30">
        <v>57.3</v>
      </c>
      <c r="BD95" s="30">
        <v>1.53</v>
      </c>
      <c r="BE95" s="30">
        <v>2.69</v>
      </c>
      <c r="BF95" s="30">
        <v>15.3</v>
      </c>
      <c r="BG95" s="30">
        <v>15.5</v>
      </c>
      <c r="BH95" s="30">
        <v>473</v>
      </c>
      <c r="BI95" s="30">
        <v>448</v>
      </c>
      <c r="BJ95" s="30">
        <v>392</v>
      </c>
      <c r="BK95" s="30">
        <v>852</v>
      </c>
      <c r="BL95" s="30">
        <v>147</v>
      </c>
      <c r="BM95" s="30">
        <v>-12.3</v>
      </c>
    </row>
    <row r="96" spans="1:65" x14ac:dyDescent="0.5">
      <c r="A96" s="44">
        <v>194</v>
      </c>
      <c r="B96" s="30">
        <v>12.9</v>
      </c>
      <c r="C96" s="30">
        <v>9.94</v>
      </c>
      <c r="D96" s="30">
        <v>0.14000000000000001</v>
      </c>
      <c r="E96" s="30">
        <v>35.5</v>
      </c>
      <c r="F96" s="30">
        <v>52</v>
      </c>
      <c r="G96" s="30">
        <v>62.3</v>
      </c>
      <c r="H96" s="30">
        <v>0.42</v>
      </c>
      <c r="I96" s="30">
        <v>0.51</v>
      </c>
      <c r="J96" s="30">
        <v>1.59</v>
      </c>
      <c r="K96" s="30">
        <v>59.5</v>
      </c>
      <c r="L96" s="30">
        <v>50.6</v>
      </c>
      <c r="M96" s="30">
        <v>10.6</v>
      </c>
      <c r="N96" s="30">
        <v>21.2</v>
      </c>
      <c r="O96" s="30">
        <v>51.3</v>
      </c>
      <c r="P96" s="30">
        <v>14.2</v>
      </c>
      <c r="Q96" s="30">
        <v>60.9</v>
      </c>
      <c r="R96" s="30">
        <v>74</v>
      </c>
      <c r="S96" s="30">
        <v>2.56</v>
      </c>
      <c r="T96" s="30">
        <v>9.57</v>
      </c>
      <c r="U96" s="30">
        <v>13.9</v>
      </c>
      <c r="V96" s="30">
        <v>22.5</v>
      </c>
      <c r="W96" s="30">
        <v>6.88</v>
      </c>
      <c r="X96" s="30">
        <v>39</v>
      </c>
      <c r="Y96" s="30">
        <v>8.24</v>
      </c>
      <c r="Z96" s="30">
        <v>26.4</v>
      </c>
      <c r="AA96" s="30">
        <v>26.4</v>
      </c>
      <c r="AB96" s="30">
        <v>7.83</v>
      </c>
      <c r="AC96" s="30">
        <v>11.8</v>
      </c>
      <c r="AD96" s="30">
        <v>8.84</v>
      </c>
      <c r="AE96" s="30">
        <v>9.0500000000000007</v>
      </c>
      <c r="AF96" s="30">
        <v>63.1</v>
      </c>
      <c r="AG96" s="30">
        <v>21.3</v>
      </c>
      <c r="AH96" s="30">
        <v>14.6</v>
      </c>
      <c r="AI96" s="30">
        <v>20.6</v>
      </c>
      <c r="AJ96" s="30">
        <v>49</v>
      </c>
      <c r="AK96" s="30">
        <v>5.81</v>
      </c>
      <c r="AL96" s="30">
        <v>14.2</v>
      </c>
      <c r="AM96" s="30">
        <v>3.42</v>
      </c>
      <c r="AN96" s="30">
        <v>0.55000000000000004</v>
      </c>
      <c r="AO96" s="30">
        <v>0.14000000000000001</v>
      </c>
      <c r="AP96" s="30">
        <v>3.34</v>
      </c>
      <c r="AQ96" s="30">
        <v>3.12</v>
      </c>
      <c r="AR96" s="30">
        <v>49.7</v>
      </c>
      <c r="AS96" s="30">
        <v>48.9</v>
      </c>
      <c r="AT96" s="30">
        <v>1.26</v>
      </c>
      <c r="AU96" s="30">
        <v>56.2</v>
      </c>
      <c r="AV96" s="30">
        <v>37.9</v>
      </c>
      <c r="AW96" s="30">
        <v>57</v>
      </c>
      <c r="AX96" s="30">
        <v>8.2200000000000006</v>
      </c>
      <c r="AY96" s="30">
        <v>25.4</v>
      </c>
      <c r="AZ96" s="30">
        <v>0.2</v>
      </c>
      <c r="BA96" s="30">
        <v>7.64</v>
      </c>
      <c r="BB96" s="30">
        <v>35.6</v>
      </c>
      <c r="BC96" s="30">
        <v>47.8</v>
      </c>
      <c r="BD96" s="30">
        <v>0.6</v>
      </c>
      <c r="BE96" s="30">
        <v>1.97</v>
      </c>
      <c r="BF96" s="30">
        <v>2.98</v>
      </c>
      <c r="BG96" s="30">
        <v>-74.599999999999994</v>
      </c>
      <c r="BH96" s="30">
        <v>201</v>
      </c>
      <c r="BI96" s="30">
        <v>196</v>
      </c>
      <c r="BJ96" s="30">
        <v>340</v>
      </c>
      <c r="BK96" s="30">
        <v>720</v>
      </c>
      <c r="BL96" s="30">
        <v>350</v>
      </c>
      <c r="BM96" s="30">
        <v>-31.8</v>
      </c>
    </row>
    <row r="97" spans="1:65" x14ac:dyDescent="0.5">
      <c r="A97" s="44">
        <v>195</v>
      </c>
      <c r="B97" s="40">
        <v>33.299999999999997</v>
      </c>
      <c r="C97" s="40">
        <v>7.31</v>
      </c>
      <c r="D97" s="40">
        <v>0.53</v>
      </c>
      <c r="E97" s="40">
        <v>35.6</v>
      </c>
      <c r="F97" s="40">
        <v>54.5</v>
      </c>
      <c r="G97" s="40">
        <v>47.1</v>
      </c>
      <c r="H97" s="40">
        <v>1.4E-2</v>
      </c>
      <c r="I97" s="40">
        <v>0.13</v>
      </c>
      <c r="J97" s="40">
        <v>1.48</v>
      </c>
      <c r="K97" s="40">
        <v>45.2</v>
      </c>
      <c r="L97" s="40">
        <v>29.3</v>
      </c>
      <c r="M97" s="40">
        <v>2.71</v>
      </c>
      <c r="N97" s="40">
        <v>53.2</v>
      </c>
      <c r="O97" s="40">
        <v>6.18</v>
      </c>
      <c r="P97" s="40">
        <v>32.1</v>
      </c>
      <c r="Q97" s="40">
        <v>41.6</v>
      </c>
      <c r="R97" s="40">
        <v>80.900000000000006</v>
      </c>
      <c r="S97" s="40">
        <v>0.82</v>
      </c>
      <c r="T97" s="40">
        <v>9.15</v>
      </c>
      <c r="U97" s="40">
        <v>9.11</v>
      </c>
      <c r="V97" s="40">
        <v>26.5</v>
      </c>
      <c r="W97" s="40">
        <v>1.37</v>
      </c>
      <c r="X97" s="40">
        <v>46.3</v>
      </c>
      <c r="Y97" s="40">
        <v>7.21</v>
      </c>
      <c r="Z97" s="40">
        <v>30.4</v>
      </c>
      <c r="AA97" s="40">
        <v>16.100000000000001</v>
      </c>
      <c r="AB97" s="40">
        <v>15.3</v>
      </c>
      <c r="AC97" s="40">
        <v>1.29</v>
      </c>
      <c r="AD97" s="40">
        <v>10.4</v>
      </c>
      <c r="AE97" s="40">
        <v>56.8</v>
      </c>
      <c r="AF97" s="40">
        <v>29.9</v>
      </c>
      <c r="AG97" s="40">
        <v>12.3</v>
      </c>
      <c r="AH97" s="40">
        <v>14.6</v>
      </c>
      <c r="AI97" s="40">
        <v>14</v>
      </c>
      <c r="AJ97" s="40">
        <v>46.5</v>
      </c>
      <c r="AK97" s="40">
        <v>14.5</v>
      </c>
      <c r="AL97" s="40">
        <v>16.399999999999999</v>
      </c>
      <c r="AM97" s="40">
        <v>6.11</v>
      </c>
      <c r="AN97" s="40">
        <v>0.49</v>
      </c>
      <c r="AO97" s="40">
        <v>0.23</v>
      </c>
      <c r="AP97" s="40">
        <v>1.22</v>
      </c>
      <c r="AQ97" s="40">
        <v>2.04</v>
      </c>
      <c r="AR97" s="40">
        <v>55.3</v>
      </c>
      <c r="AS97" s="40">
        <v>43.9</v>
      </c>
      <c r="AT97" s="40">
        <v>0.81</v>
      </c>
      <c r="AU97" s="40">
        <v>68.099999999999994</v>
      </c>
      <c r="AV97" s="40">
        <v>29.3</v>
      </c>
      <c r="AW97" s="40">
        <v>54.8</v>
      </c>
      <c r="AX97" s="40">
        <v>8.2899999999999991</v>
      </c>
      <c r="AY97" s="40">
        <v>30.5</v>
      </c>
      <c r="AZ97" s="40">
        <v>0.64</v>
      </c>
      <c r="BA97" s="40">
        <v>27.1</v>
      </c>
      <c r="BB97" s="40">
        <v>61.5</v>
      </c>
      <c r="BC97" s="40">
        <v>72.400000000000006</v>
      </c>
      <c r="BD97" s="40">
        <v>1.97</v>
      </c>
      <c r="BE97" s="40">
        <v>12.7</v>
      </c>
      <c r="BF97" s="40">
        <v>62.8</v>
      </c>
      <c r="BG97" s="40">
        <v>28.3</v>
      </c>
      <c r="BH97" s="40">
        <v>598</v>
      </c>
      <c r="BI97" s="40">
        <v>729</v>
      </c>
      <c r="BJ97" s="40">
        <v>784</v>
      </c>
      <c r="BK97" s="40">
        <v>557</v>
      </c>
      <c r="BL97" s="40">
        <v>136</v>
      </c>
      <c r="BM97" s="40">
        <v>13.2</v>
      </c>
    </row>
    <row r="98" spans="1:65" x14ac:dyDescent="0.5">
      <c r="A98" s="44">
        <v>196</v>
      </c>
      <c r="B98" s="30">
        <v>9.3699999999999992</v>
      </c>
      <c r="C98" s="30">
        <v>4.9400000000000004</v>
      </c>
      <c r="D98" s="30">
        <v>0.15</v>
      </c>
      <c r="E98" s="30">
        <v>60.2</v>
      </c>
      <c r="F98" s="30">
        <v>28.8</v>
      </c>
      <c r="G98" s="30">
        <v>80.8</v>
      </c>
      <c r="H98" s="30">
        <v>3.5999999999999997E-2</v>
      </c>
      <c r="I98" s="30">
        <v>1.01</v>
      </c>
      <c r="J98" s="30">
        <v>1.01</v>
      </c>
      <c r="K98" s="30">
        <v>78.8</v>
      </c>
      <c r="L98" s="30">
        <v>51.3</v>
      </c>
      <c r="M98" s="30">
        <v>9.4499999999999993</v>
      </c>
      <c r="N98" s="30">
        <v>49.9</v>
      </c>
      <c r="O98" s="30">
        <v>23.4</v>
      </c>
      <c r="P98" s="30">
        <v>10.4</v>
      </c>
      <c r="Q98" s="30">
        <v>31.9</v>
      </c>
      <c r="R98" s="30">
        <v>62</v>
      </c>
      <c r="S98" s="30">
        <v>5.34</v>
      </c>
      <c r="T98" s="30">
        <v>16.2</v>
      </c>
      <c r="U98" s="30">
        <v>16.5</v>
      </c>
      <c r="V98" s="30">
        <v>54.1</v>
      </c>
      <c r="W98" s="30">
        <v>7.22</v>
      </c>
      <c r="X98" s="30">
        <v>33.9</v>
      </c>
      <c r="Y98" s="30">
        <v>10.1</v>
      </c>
      <c r="Z98" s="30">
        <v>35.4</v>
      </c>
      <c r="AA98" s="30">
        <v>20.7</v>
      </c>
      <c r="AB98" s="30">
        <v>25.5</v>
      </c>
      <c r="AC98" s="30">
        <v>2.96</v>
      </c>
      <c r="AD98" s="30">
        <v>18.5</v>
      </c>
      <c r="AE98" s="30">
        <v>49.7</v>
      </c>
      <c r="AF98" s="30">
        <v>27.5</v>
      </c>
      <c r="AG98" s="30">
        <v>8.36</v>
      </c>
      <c r="AH98" s="30">
        <v>10.5</v>
      </c>
      <c r="AI98" s="30">
        <v>13.6</v>
      </c>
      <c r="AJ98" s="30">
        <v>54.5</v>
      </c>
      <c r="AK98" s="30">
        <v>11.9</v>
      </c>
      <c r="AL98" s="30">
        <v>30.6</v>
      </c>
      <c r="AM98" s="30">
        <v>23.2</v>
      </c>
      <c r="AN98" s="30">
        <v>1.02</v>
      </c>
      <c r="AO98" s="30">
        <v>1.54</v>
      </c>
      <c r="AP98" s="30">
        <v>1.79</v>
      </c>
      <c r="AQ98" s="30">
        <v>10.9</v>
      </c>
      <c r="AR98" s="30">
        <v>41.3</v>
      </c>
      <c r="AS98" s="30">
        <v>55.8</v>
      </c>
      <c r="AT98" s="30">
        <v>2.85</v>
      </c>
      <c r="AU98" s="30">
        <v>59</v>
      </c>
      <c r="AV98" s="30">
        <v>29.2</v>
      </c>
      <c r="AW98" s="30">
        <v>21.4</v>
      </c>
      <c r="AX98" s="30">
        <v>8.25</v>
      </c>
      <c r="AY98" s="30">
        <v>64.5</v>
      </c>
      <c r="AZ98" s="30">
        <v>0.4</v>
      </c>
      <c r="BA98" s="30">
        <v>7.93</v>
      </c>
      <c r="BB98" s="30">
        <v>60.3</v>
      </c>
      <c r="BC98" s="30">
        <v>80.099999999999994</v>
      </c>
      <c r="BD98" s="30">
        <v>0.32</v>
      </c>
      <c r="BE98" s="30">
        <v>1.58</v>
      </c>
      <c r="BF98" s="30">
        <v>3.88</v>
      </c>
      <c r="BG98" s="30">
        <v>-14.7</v>
      </c>
      <c r="BH98" s="30">
        <v>354</v>
      </c>
      <c r="BI98" s="30">
        <v>333</v>
      </c>
      <c r="BJ98" s="30">
        <v>380</v>
      </c>
      <c r="BK98" s="30">
        <v>1185</v>
      </c>
      <c r="BL98" s="30">
        <v>175</v>
      </c>
      <c r="BM98" s="30">
        <v>-12.7</v>
      </c>
    </row>
    <row r="99" spans="1:65" x14ac:dyDescent="0.5">
      <c r="A99" s="44">
        <v>197</v>
      </c>
      <c r="B99" s="30">
        <v>25.8</v>
      </c>
      <c r="C99" s="30">
        <v>5.21</v>
      </c>
      <c r="D99" s="30">
        <v>1.21</v>
      </c>
      <c r="E99" s="30">
        <v>38.6</v>
      </c>
      <c r="F99" s="30">
        <v>50</v>
      </c>
      <c r="G99" s="30">
        <v>38.200000000000003</v>
      </c>
      <c r="H99" s="30">
        <v>0.14000000000000001</v>
      </c>
      <c r="I99" s="30">
        <v>51.2</v>
      </c>
      <c r="J99" s="30">
        <v>5.73</v>
      </c>
      <c r="K99" s="30">
        <v>12.2</v>
      </c>
      <c r="L99" s="30">
        <v>3.26</v>
      </c>
      <c r="M99" s="30">
        <v>14.4</v>
      </c>
      <c r="N99" s="30">
        <v>12.5</v>
      </c>
      <c r="O99" s="30">
        <v>20.5</v>
      </c>
      <c r="P99" s="30">
        <v>44.2</v>
      </c>
      <c r="Q99" s="30">
        <v>65.599999999999994</v>
      </c>
      <c r="R99" s="30">
        <v>46.8</v>
      </c>
      <c r="S99" s="30">
        <v>10.5</v>
      </c>
      <c r="T99" s="30">
        <v>24.6</v>
      </c>
      <c r="U99" s="30">
        <v>18.100000000000001</v>
      </c>
      <c r="V99" s="30">
        <v>1.96</v>
      </c>
      <c r="W99" s="30">
        <v>5.72</v>
      </c>
      <c r="X99" s="30">
        <v>14.1</v>
      </c>
      <c r="Y99" s="30">
        <v>19</v>
      </c>
      <c r="Z99" s="30">
        <v>48.9</v>
      </c>
      <c r="AA99" s="30">
        <v>17.899999999999999</v>
      </c>
      <c r="AB99" s="30">
        <v>7.66</v>
      </c>
      <c r="AC99" s="30">
        <v>3.75</v>
      </c>
      <c r="AD99" s="30">
        <v>26.1</v>
      </c>
      <c r="AE99" s="30">
        <v>61.3</v>
      </c>
      <c r="AF99" s="30">
        <v>2.2999999999999998</v>
      </c>
      <c r="AG99" s="30">
        <v>23.4</v>
      </c>
      <c r="AH99" s="30">
        <v>3.57</v>
      </c>
      <c r="AI99" s="30">
        <v>7.43</v>
      </c>
      <c r="AJ99" s="30">
        <v>74.599999999999994</v>
      </c>
      <c r="AK99" s="30">
        <v>7.86</v>
      </c>
      <c r="AL99" s="30">
        <v>20.399999999999999</v>
      </c>
      <c r="AM99" s="30">
        <v>24</v>
      </c>
      <c r="AN99" s="30">
        <v>1.66</v>
      </c>
      <c r="AO99" s="30">
        <v>0.84</v>
      </c>
      <c r="AP99" s="30">
        <v>5.67</v>
      </c>
      <c r="AQ99" s="30">
        <v>9.1300000000000008</v>
      </c>
      <c r="AR99" s="30">
        <v>75.2</v>
      </c>
      <c r="AS99" s="30">
        <v>22.4</v>
      </c>
      <c r="AT99" s="30">
        <v>2.31</v>
      </c>
      <c r="AU99" s="30">
        <v>66.7</v>
      </c>
      <c r="AV99" s="30">
        <v>18.899999999999999</v>
      </c>
      <c r="AW99" s="30">
        <v>36.4</v>
      </c>
      <c r="AX99" s="30">
        <v>8.61</v>
      </c>
      <c r="AY99" s="30">
        <v>50.7</v>
      </c>
      <c r="AZ99" s="30">
        <v>5.75</v>
      </c>
      <c r="BA99" s="30">
        <v>18.3</v>
      </c>
      <c r="BB99" s="30">
        <v>57.1</v>
      </c>
      <c r="BC99" s="30">
        <v>51.6</v>
      </c>
      <c r="BD99" s="30">
        <v>1.59</v>
      </c>
      <c r="BE99" s="30">
        <v>26.4</v>
      </c>
      <c r="BF99" s="30">
        <v>22.4</v>
      </c>
      <c r="BG99" s="30">
        <v>728</v>
      </c>
      <c r="BH99" s="30">
        <v>1804</v>
      </c>
      <c r="BI99" s="30">
        <v>3802</v>
      </c>
      <c r="BJ99" s="30">
        <v>644</v>
      </c>
      <c r="BK99" s="30">
        <v>926</v>
      </c>
      <c r="BL99" s="30">
        <v>463</v>
      </c>
      <c r="BM99" s="30">
        <v>238</v>
      </c>
    </row>
    <row r="100" spans="1:65" x14ac:dyDescent="0.5"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</row>
    <row r="101" spans="1:65" x14ac:dyDescent="0.5">
      <c r="A101" s="44">
        <v>198</v>
      </c>
      <c r="B101" s="28">
        <v>15</v>
      </c>
      <c r="C101" s="28">
        <v>2.36</v>
      </c>
      <c r="D101" s="28">
        <v>2.5999999999999999E-2</v>
      </c>
      <c r="E101" s="28">
        <v>50.1</v>
      </c>
      <c r="F101" s="28">
        <v>47.6</v>
      </c>
      <c r="G101" s="28">
        <v>67.400000000000006</v>
      </c>
      <c r="H101" s="28">
        <v>1.6E-2</v>
      </c>
      <c r="I101" s="28">
        <v>5.34</v>
      </c>
      <c r="J101" s="28">
        <v>2.0499999999999998</v>
      </c>
      <c r="K101" s="28">
        <v>61.7</v>
      </c>
      <c r="L101" s="28">
        <v>43.7</v>
      </c>
      <c r="M101" s="28">
        <v>8.48</v>
      </c>
      <c r="N101" s="28">
        <v>59.8</v>
      </c>
      <c r="O101" s="28">
        <v>6.48</v>
      </c>
      <c r="P101" s="28">
        <v>3.93</v>
      </c>
      <c r="Q101" s="28">
        <v>7.37</v>
      </c>
      <c r="R101" s="28">
        <v>34.299999999999997</v>
      </c>
      <c r="S101" s="28">
        <v>21.5</v>
      </c>
      <c r="T101" s="28">
        <v>26.9</v>
      </c>
      <c r="U101" s="28">
        <v>17.399999999999999</v>
      </c>
      <c r="V101" s="28">
        <v>74.900000000000006</v>
      </c>
      <c r="W101" s="28">
        <v>1.67</v>
      </c>
      <c r="X101" s="28">
        <v>17.899999999999999</v>
      </c>
      <c r="Y101" s="28">
        <v>15.8</v>
      </c>
      <c r="Z101" s="28">
        <v>46.2</v>
      </c>
      <c r="AA101" s="28">
        <v>20.2</v>
      </c>
      <c r="AB101" s="28">
        <v>16.600000000000001</v>
      </c>
      <c r="AC101" s="28">
        <v>1.78</v>
      </c>
      <c r="AD101" s="28">
        <v>4.16</v>
      </c>
      <c r="AE101" s="28">
        <v>29.7</v>
      </c>
      <c r="AF101" s="28">
        <v>64.3</v>
      </c>
      <c r="AG101" s="28">
        <v>14.5</v>
      </c>
      <c r="AH101" s="28">
        <v>3.43</v>
      </c>
      <c r="AI101" s="28">
        <v>16.8</v>
      </c>
      <c r="AJ101" s="28">
        <v>68.5</v>
      </c>
      <c r="AK101" s="28">
        <v>8.11</v>
      </c>
      <c r="AL101" s="28">
        <v>10.9</v>
      </c>
      <c r="AM101" s="28">
        <v>12.6</v>
      </c>
      <c r="AN101" s="28">
        <v>0.52</v>
      </c>
      <c r="AO101" s="28">
        <v>0.57999999999999996</v>
      </c>
      <c r="AP101" s="28">
        <v>2.4500000000000002</v>
      </c>
      <c r="AQ101" s="28">
        <v>0.35</v>
      </c>
      <c r="AR101" s="28">
        <v>79</v>
      </c>
      <c r="AS101" s="28">
        <v>20.100000000000001</v>
      </c>
      <c r="AT101" s="28">
        <v>0.84</v>
      </c>
      <c r="AU101" s="28">
        <v>90.5</v>
      </c>
      <c r="AV101" s="28">
        <v>7.68</v>
      </c>
      <c r="AW101" s="28">
        <v>64.900000000000006</v>
      </c>
      <c r="AX101" s="28">
        <v>4.9800000000000004</v>
      </c>
      <c r="AY101" s="28">
        <v>23.9</v>
      </c>
      <c r="AZ101" s="28">
        <v>0.6</v>
      </c>
      <c r="BA101" s="28">
        <v>6.43</v>
      </c>
      <c r="BB101" s="28">
        <v>26.4</v>
      </c>
      <c r="BC101" s="28">
        <v>23.2</v>
      </c>
      <c r="BD101" s="28">
        <v>2.11</v>
      </c>
      <c r="BE101" s="28">
        <v>3.27</v>
      </c>
      <c r="BF101" s="28">
        <v>5.12</v>
      </c>
      <c r="BG101" s="28">
        <v>97.8</v>
      </c>
      <c r="BH101" s="28">
        <v>748</v>
      </c>
      <c r="BI101" s="28">
        <v>1094</v>
      </c>
      <c r="BJ101" s="28">
        <v>755</v>
      </c>
      <c r="BK101" s="28">
        <v>1103</v>
      </c>
      <c r="BL101" s="28">
        <v>438</v>
      </c>
      <c r="BM101" s="28">
        <v>9.82</v>
      </c>
    </row>
    <row r="102" spans="1:65" x14ac:dyDescent="0.5">
      <c r="A102" s="44">
        <v>199</v>
      </c>
      <c r="B102" s="28">
        <v>9.07</v>
      </c>
      <c r="C102" s="28">
        <v>3.6</v>
      </c>
      <c r="D102" s="28">
        <v>0.28000000000000003</v>
      </c>
      <c r="E102" s="28">
        <v>36.6</v>
      </c>
      <c r="F102" s="28">
        <v>59.5</v>
      </c>
      <c r="G102" s="28">
        <v>72.900000000000006</v>
      </c>
      <c r="H102" s="28">
        <v>1.9E-2</v>
      </c>
      <c r="I102" s="28">
        <v>1.1299999999999999</v>
      </c>
      <c r="J102" s="28">
        <v>2.58</v>
      </c>
      <c r="K102" s="28">
        <v>69.5</v>
      </c>
      <c r="L102" s="28">
        <v>48.8</v>
      </c>
      <c r="M102" s="28">
        <v>4.8600000000000003</v>
      </c>
      <c r="N102" s="28">
        <v>62.4</v>
      </c>
      <c r="O102" s="28">
        <v>23.7</v>
      </c>
      <c r="P102" s="28">
        <v>8.3800000000000008</v>
      </c>
      <c r="Q102" s="28">
        <v>27.3</v>
      </c>
      <c r="R102" s="28">
        <v>41.9</v>
      </c>
      <c r="S102" s="28">
        <v>12.8</v>
      </c>
      <c r="T102" s="28">
        <v>37.9</v>
      </c>
      <c r="U102" s="28">
        <v>7.32</v>
      </c>
      <c r="V102" s="28">
        <v>60.1</v>
      </c>
      <c r="W102" s="28">
        <v>4.08</v>
      </c>
      <c r="X102" s="28">
        <v>57.5</v>
      </c>
      <c r="Y102" s="28">
        <v>2.54</v>
      </c>
      <c r="Z102" s="28">
        <v>28.4</v>
      </c>
      <c r="AA102" s="28">
        <v>11.6</v>
      </c>
      <c r="AB102" s="28">
        <v>17.7</v>
      </c>
      <c r="AC102" s="28">
        <v>10.1</v>
      </c>
      <c r="AD102" s="28">
        <v>19.3</v>
      </c>
      <c r="AE102" s="28">
        <v>16.399999999999999</v>
      </c>
      <c r="AF102" s="28">
        <v>54.2</v>
      </c>
      <c r="AG102" s="28">
        <v>13.6</v>
      </c>
      <c r="AH102" s="28">
        <v>4.0999999999999996</v>
      </c>
      <c r="AI102" s="28">
        <v>24.6</v>
      </c>
      <c r="AJ102" s="28">
        <v>42.5</v>
      </c>
      <c r="AK102" s="28">
        <v>14.1</v>
      </c>
      <c r="AL102" s="28">
        <v>10.4</v>
      </c>
      <c r="AM102" s="28">
        <v>10.5</v>
      </c>
      <c r="AN102" s="28">
        <v>0.88</v>
      </c>
      <c r="AO102" s="28">
        <v>0.52</v>
      </c>
      <c r="AP102" s="28">
        <v>7.86</v>
      </c>
      <c r="AQ102" s="28">
        <v>1.91</v>
      </c>
      <c r="AR102" s="28">
        <v>92.5</v>
      </c>
      <c r="AS102" s="28">
        <v>6.17</v>
      </c>
      <c r="AT102" s="28">
        <v>1.25</v>
      </c>
      <c r="AU102" s="28">
        <v>81.7</v>
      </c>
      <c r="AV102" s="28">
        <v>8.9</v>
      </c>
      <c r="AW102" s="28">
        <v>65.599999999999994</v>
      </c>
      <c r="AX102" s="28">
        <v>8.31</v>
      </c>
      <c r="AY102" s="28">
        <v>21.8</v>
      </c>
      <c r="AZ102" s="28">
        <v>1.35</v>
      </c>
      <c r="BA102" s="28">
        <v>17.600000000000001</v>
      </c>
      <c r="BB102" s="28">
        <v>68.8</v>
      </c>
      <c r="BC102" s="28">
        <v>77.900000000000006</v>
      </c>
      <c r="BD102" s="28">
        <v>0.43</v>
      </c>
      <c r="BE102" s="28">
        <v>3.77</v>
      </c>
      <c r="BF102" s="28">
        <v>36.9</v>
      </c>
      <c r="BG102" s="28">
        <v>53.3</v>
      </c>
      <c r="BH102" s="28">
        <v>384</v>
      </c>
      <c r="BI102" s="28">
        <v>367</v>
      </c>
      <c r="BJ102" s="28">
        <v>670</v>
      </c>
      <c r="BK102" s="28">
        <v>947</v>
      </c>
      <c r="BL102" s="28">
        <v>340</v>
      </c>
      <c r="BM102" s="28">
        <v>23.3</v>
      </c>
    </row>
    <row r="103" spans="1:65" x14ac:dyDescent="0.5">
      <c r="A103" s="44">
        <v>200</v>
      </c>
      <c r="B103" s="28">
        <v>12.6</v>
      </c>
      <c r="C103" s="28">
        <v>4.76</v>
      </c>
      <c r="D103" s="28">
        <v>0.21</v>
      </c>
      <c r="E103" s="28">
        <v>40.6</v>
      </c>
      <c r="F103" s="28">
        <v>54.5</v>
      </c>
      <c r="G103" s="28">
        <v>71.900000000000006</v>
      </c>
      <c r="H103" s="28">
        <v>0.12</v>
      </c>
      <c r="I103" s="28">
        <v>4.2</v>
      </c>
      <c r="J103" s="28">
        <v>2.08</v>
      </c>
      <c r="K103" s="28">
        <v>66.599999999999994</v>
      </c>
      <c r="L103" s="28">
        <v>55.4</v>
      </c>
      <c r="M103" s="28">
        <v>5.68</v>
      </c>
      <c r="N103" s="28">
        <v>45.9</v>
      </c>
      <c r="O103" s="28">
        <v>33.700000000000003</v>
      </c>
      <c r="P103" s="28">
        <v>13</v>
      </c>
      <c r="Q103" s="28">
        <v>38.1</v>
      </c>
      <c r="R103" s="28">
        <v>24.5</v>
      </c>
      <c r="S103" s="28">
        <v>24.6</v>
      </c>
      <c r="T103" s="28">
        <v>38.6</v>
      </c>
      <c r="U103" s="28">
        <v>12.2</v>
      </c>
      <c r="V103" s="28">
        <v>47</v>
      </c>
      <c r="W103" s="28">
        <v>9.09</v>
      </c>
      <c r="X103" s="28">
        <v>31.7</v>
      </c>
      <c r="Y103" s="28">
        <v>13</v>
      </c>
      <c r="Z103" s="28">
        <v>34.5</v>
      </c>
      <c r="AA103" s="28">
        <v>20.8</v>
      </c>
      <c r="AB103" s="28">
        <v>10.199999999999999</v>
      </c>
      <c r="AC103" s="28">
        <v>8.5500000000000007</v>
      </c>
      <c r="AD103" s="28">
        <v>12.8</v>
      </c>
      <c r="AE103" s="28">
        <v>9.81</v>
      </c>
      <c r="AF103" s="28">
        <v>68.8</v>
      </c>
      <c r="AG103" s="28">
        <v>14.7</v>
      </c>
      <c r="AH103" s="28">
        <v>3.1</v>
      </c>
      <c r="AI103" s="28">
        <v>33.9</v>
      </c>
      <c r="AJ103" s="28">
        <v>49.6</v>
      </c>
      <c r="AK103" s="28">
        <v>4.9000000000000004</v>
      </c>
      <c r="AL103" s="28">
        <v>25.8</v>
      </c>
      <c r="AM103" s="28">
        <v>15.4</v>
      </c>
      <c r="AN103" s="28">
        <v>1</v>
      </c>
      <c r="AO103" s="28">
        <v>1.65</v>
      </c>
      <c r="AP103" s="28">
        <v>3.14</v>
      </c>
      <c r="AQ103" s="28">
        <v>16.399999999999999</v>
      </c>
      <c r="AR103" s="28">
        <v>91.3</v>
      </c>
      <c r="AS103" s="28">
        <v>6.45</v>
      </c>
      <c r="AT103" s="28">
        <v>1.91</v>
      </c>
      <c r="AU103" s="28">
        <v>79.099999999999994</v>
      </c>
      <c r="AV103" s="28">
        <v>2.81</v>
      </c>
      <c r="AW103" s="28">
        <v>51.2</v>
      </c>
      <c r="AX103" s="28">
        <v>4.92</v>
      </c>
      <c r="AY103" s="28">
        <v>41.1</v>
      </c>
      <c r="AZ103" s="28">
        <v>0.38</v>
      </c>
      <c r="BA103" s="28">
        <v>11.8</v>
      </c>
      <c r="BB103" s="28">
        <v>44.6</v>
      </c>
      <c r="BC103" s="28">
        <v>69</v>
      </c>
      <c r="BD103" s="28">
        <v>0.44</v>
      </c>
      <c r="BE103" s="28">
        <v>2.29</v>
      </c>
      <c r="BF103" s="28">
        <v>3.92</v>
      </c>
      <c r="BG103" s="28">
        <v>17.600000000000001</v>
      </c>
      <c r="BH103" s="28">
        <v>364</v>
      </c>
      <c r="BI103" s="28">
        <v>357</v>
      </c>
      <c r="BJ103" s="28">
        <v>448</v>
      </c>
      <c r="BK103" s="28">
        <v>1066</v>
      </c>
      <c r="BL103" s="28">
        <v>514</v>
      </c>
      <c r="BM103" s="28">
        <v>-23.2</v>
      </c>
    </row>
    <row r="104" spans="1:65" x14ac:dyDescent="0.5">
      <c r="A104" s="44">
        <v>201</v>
      </c>
      <c r="B104" s="28">
        <v>25.4</v>
      </c>
      <c r="C104" s="28">
        <v>5.48</v>
      </c>
      <c r="D104" s="28">
        <v>0.67</v>
      </c>
      <c r="E104" s="28">
        <v>50.5</v>
      </c>
      <c r="F104" s="28">
        <v>43.4</v>
      </c>
      <c r="G104" s="28">
        <v>63.9</v>
      </c>
      <c r="H104" s="28">
        <v>0.25</v>
      </c>
      <c r="I104" s="28">
        <v>4.25</v>
      </c>
      <c r="J104" s="28">
        <v>8.58</v>
      </c>
      <c r="K104" s="28">
        <v>52.2</v>
      </c>
      <c r="L104" s="28">
        <v>39.5</v>
      </c>
      <c r="M104" s="28">
        <v>6.81</v>
      </c>
      <c r="N104" s="28">
        <v>19.8</v>
      </c>
      <c r="O104" s="28">
        <v>44.2</v>
      </c>
      <c r="P104" s="28">
        <v>28.2</v>
      </c>
      <c r="Q104" s="28">
        <v>58.7</v>
      </c>
      <c r="R104" s="28">
        <v>38.299999999999997</v>
      </c>
      <c r="S104" s="28">
        <v>19.7</v>
      </c>
      <c r="T104" s="28">
        <v>29.4</v>
      </c>
      <c r="U104" s="28">
        <v>12.6</v>
      </c>
      <c r="V104" s="28">
        <v>20.100000000000001</v>
      </c>
      <c r="W104" s="28">
        <v>14</v>
      </c>
      <c r="X104" s="28">
        <v>36</v>
      </c>
      <c r="Y104" s="28">
        <v>6.2</v>
      </c>
      <c r="Z104" s="28">
        <v>45.3</v>
      </c>
      <c r="AA104" s="28">
        <v>12.6</v>
      </c>
      <c r="AB104" s="28">
        <v>11.9</v>
      </c>
      <c r="AC104" s="28">
        <v>19</v>
      </c>
      <c r="AD104" s="28">
        <v>22</v>
      </c>
      <c r="AE104" s="28">
        <v>34.5</v>
      </c>
      <c r="AF104" s="28">
        <v>24.4</v>
      </c>
      <c r="AG104" s="28">
        <v>12.9</v>
      </c>
      <c r="AH104" s="28">
        <v>5.5</v>
      </c>
      <c r="AI104" s="28">
        <v>49.3</v>
      </c>
      <c r="AJ104" s="28">
        <v>37.299999999999997</v>
      </c>
      <c r="AK104" s="28">
        <v>3.2</v>
      </c>
      <c r="AL104" s="28">
        <v>14</v>
      </c>
      <c r="AM104" s="28">
        <v>15.5</v>
      </c>
      <c r="AN104" s="28">
        <v>0.94</v>
      </c>
      <c r="AO104" s="28">
        <v>2.11</v>
      </c>
      <c r="AP104" s="28">
        <v>2.4700000000000002</v>
      </c>
      <c r="AQ104" s="28">
        <v>10.7</v>
      </c>
      <c r="AR104" s="28">
        <v>88.7</v>
      </c>
      <c r="AS104" s="28">
        <v>8.42</v>
      </c>
      <c r="AT104" s="28">
        <v>2.4700000000000002</v>
      </c>
      <c r="AU104" s="28">
        <v>83.7</v>
      </c>
      <c r="AV104" s="28">
        <v>4.1900000000000004</v>
      </c>
      <c r="AW104" s="28">
        <v>60.8</v>
      </c>
      <c r="AX104" s="28">
        <v>6.37</v>
      </c>
      <c r="AY104" s="28">
        <v>30.1</v>
      </c>
      <c r="AZ104" s="28">
        <v>2.2599999999999998</v>
      </c>
      <c r="BA104" s="28">
        <v>8.83</v>
      </c>
      <c r="BB104" s="28">
        <v>27.2</v>
      </c>
      <c r="BC104" s="28">
        <v>58.6</v>
      </c>
      <c r="BD104" s="28">
        <v>0.49</v>
      </c>
      <c r="BE104" s="28">
        <v>1.21</v>
      </c>
      <c r="BF104" s="28">
        <v>3.1</v>
      </c>
      <c r="BG104" s="28">
        <v>61.6</v>
      </c>
      <c r="BH104" s="28">
        <v>581</v>
      </c>
      <c r="BI104" s="28">
        <v>624</v>
      </c>
      <c r="BJ104" s="28">
        <v>689</v>
      </c>
      <c r="BK104" s="28">
        <v>872</v>
      </c>
      <c r="BL104" s="28">
        <v>555</v>
      </c>
      <c r="BM104" s="28">
        <v>220</v>
      </c>
    </row>
    <row r="105" spans="1:65" x14ac:dyDescent="0.5">
      <c r="A105" s="44">
        <v>202</v>
      </c>
      <c r="B105" s="28">
        <v>9.6300000000000008</v>
      </c>
      <c r="C105" s="28">
        <v>6.33</v>
      </c>
      <c r="D105" s="28">
        <v>0.6</v>
      </c>
      <c r="E105" s="28">
        <v>48.6</v>
      </c>
      <c r="F105" s="28">
        <v>44.5</v>
      </c>
      <c r="G105" s="28">
        <v>81.599999999999994</v>
      </c>
      <c r="H105" s="28">
        <v>1.6E-2</v>
      </c>
      <c r="I105" s="28">
        <v>1.65</v>
      </c>
      <c r="J105" s="28">
        <v>2.02</v>
      </c>
      <c r="K105" s="28">
        <v>78.2</v>
      </c>
      <c r="L105" s="28">
        <v>43.4</v>
      </c>
      <c r="M105" s="28">
        <v>7.5</v>
      </c>
      <c r="N105" s="28">
        <v>46.2</v>
      </c>
      <c r="O105" s="28">
        <v>32.799999999999997</v>
      </c>
      <c r="P105" s="28">
        <v>10.9</v>
      </c>
      <c r="Q105" s="28">
        <v>30.5</v>
      </c>
      <c r="R105" s="28">
        <v>18.7</v>
      </c>
      <c r="S105" s="28">
        <v>28.8</v>
      </c>
      <c r="T105" s="28">
        <v>41.7</v>
      </c>
      <c r="U105" s="28">
        <v>10.8</v>
      </c>
      <c r="V105" s="28">
        <v>48</v>
      </c>
      <c r="W105" s="28">
        <v>13.6</v>
      </c>
      <c r="X105" s="28">
        <v>22.8</v>
      </c>
      <c r="Y105" s="28">
        <v>13.6</v>
      </c>
      <c r="Z105" s="28">
        <v>48.2</v>
      </c>
      <c r="AA105" s="28">
        <v>15.5</v>
      </c>
      <c r="AB105" s="28">
        <v>31.3</v>
      </c>
      <c r="AC105" s="28">
        <v>1.61</v>
      </c>
      <c r="AD105" s="28">
        <v>1.74</v>
      </c>
      <c r="AE105" s="28">
        <v>35.1</v>
      </c>
      <c r="AF105" s="28">
        <v>61.5</v>
      </c>
      <c r="AG105" s="28">
        <v>7.98</v>
      </c>
      <c r="AH105" s="28">
        <v>7.59</v>
      </c>
      <c r="AI105" s="28">
        <v>37.200000000000003</v>
      </c>
      <c r="AJ105" s="28">
        <v>44.7</v>
      </c>
      <c r="AK105" s="28">
        <v>4.38</v>
      </c>
      <c r="AL105" s="28">
        <v>10.7</v>
      </c>
      <c r="AM105" s="28">
        <v>12.2</v>
      </c>
      <c r="AN105" s="28">
        <v>0.5</v>
      </c>
      <c r="AO105" s="28">
        <v>0.75</v>
      </c>
      <c r="AP105" s="28">
        <v>2.21</v>
      </c>
      <c r="AQ105" s="28">
        <v>5.26</v>
      </c>
      <c r="AR105" s="28">
        <v>90.1</v>
      </c>
      <c r="AS105" s="28">
        <v>8.99</v>
      </c>
      <c r="AT105" s="28">
        <v>0.75</v>
      </c>
      <c r="AU105" s="28">
        <v>81.8</v>
      </c>
      <c r="AV105" s="28">
        <v>11.4</v>
      </c>
      <c r="AW105" s="28">
        <v>53.6</v>
      </c>
      <c r="AX105" s="28">
        <v>13.6</v>
      </c>
      <c r="AY105" s="28">
        <v>25.3</v>
      </c>
      <c r="AZ105" s="28">
        <v>0.64</v>
      </c>
      <c r="BA105" s="28">
        <v>7.11</v>
      </c>
      <c r="BB105" s="28">
        <v>29.5</v>
      </c>
      <c r="BC105" s="28">
        <v>68</v>
      </c>
      <c r="BD105" s="28">
        <v>0.5</v>
      </c>
      <c r="BE105" s="28">
        <v>2.04</v>
      </c>
      <c r="BF105" s="28">
        <v>2.34</v>
      </c>
      <c r="BG105" s="28">
        <v>33.200000000000003</v>
      </c>
      <c r="BH105" s="28">
        <v>381</v>
      </c>
      <c r="BI105" s="28">
        <v>410</v>
      </c>
      <c r="BJ105" s="28">
        <v>509</v>
      </c>
      <c r="BK105" s="28">
        <v>993</v>
      </c>
      <c r="BL105" s="28">
        <v>146</v>
      </c>
      <c r="BM105" s="28">
        <v>4.7300000000000004</v>
      </c>
    </row>
    <row r="106" spans="1:65" x14ac:dyDescent="0.5">
      <c r="A106" s="44">
        <v>203</v>
      </c>
      <c r="B106" s="28">
        <v>19.7</v>
      </c>
      <c r="C106" s="28">
        <v>2.5299999999999998</v>
      </c>
      <c r="D106" s="28">
        <v>5.8999999999999997E-2</v>
      </c>
      <c r="E106" s="28">
        <v>24.5</v>
      </c>
      <c r="F106" s="28">
        <v>72.900000000000006</v>
      </c>
      <c r="G106" s="28">
        <v>64.5</v>
      </c>
      <c r="H106" s="34">
        <v>9.4900000000000002E-3</v>
      </c>
      <c r="I106" s="28">
        <v>9.9600000000000009</v>
      </c>
      <c r="J106" s="28">
        <v>3.95</v>
      </c>
      <c r="K106" s="28">
        <v>54.1</v>
      </c>
      <c r="L106" s="28">
        <v>28.9</v>
      </c>
      <c r="M106" s="28">
        <v>7.33</v>
      </c>
      <c r="N106" s="28">
        <v>55.5</v>
      </c>
      <c r="O106" s="28">
        <v>22.8</v>
      </c>
      <c r="P106" s="28">
        <v>13.6</v>
      </c>
      <c r="Q106" s="28">
        <v>29.7</v>
      </c>
      <c r="R106" s="28">
        <v>63.7</v>
      </c>
      <c r="S106" s="28">
        <v>3.85</v>
      </c>
      <c r="T106" s="28">
        <v>25.9</v>
      </c>
      <c r="U106" s="28">
        <v>6.57</v>
      </c>
      <c r="V106" s="28">
        <v>54.5</v>
      </c>
      <c r="W106" s="28">
        <v>6.25</v>
      </c>
      <c r="X106" s="28">
        <v>73</v>
      </c>
      <c r="Y106" s="28">
        <v>0.65</v>
      </c>
      <c r="Z106" s="28">
        <v>21.5</v>
      </c>
      <c r="AA106" s="28">
        <v>4.8899999999999997</v>
      </c>
      <c r="AB106" s="28">
        <v>24.4</v>
      </c>
      <c r="AC106" s="28">
        <v>2.2000000000000002</v>
      </c>
      <c r="AD106" s="28">
        <v>5.9</v>
      </c>
      <c r="AE106" s="28">
        <v>12.6</v>
      </c>
      <c r="AF106" s="28">
        <v>79.3</v>
      </c>
      <c r="AG106" s="28">
        <v>12.4</v>
      </c>
      <c r="AH106" s="28">
        <v>2.75</v>
      </c>
      <c r="AI106" s="28">
        <v>41</v>
      </c>
      <c r="AJ106" s="28">
        <v>35.299999999999997</v>
      </c>
      <c r="AK106" s="28">
        <v>4.24</v>
      </c>
      <c r="AL106" s="28">
        <v>14.9</v>
      </c>
      <c r="AM106" s="28">
        <v>22.8</v>
      </c>
      <c r="AN106" s="28">
        <v>2.31</v>
      </c>
      <c r="AO106" s="28">
        <v>1.37</v>
      </c>
      <c r="AP106" s="28">
        <v>29.8</v>
      </c>
      <c r="AQ106" s="28">
        <v>5.57</v>
      </c>
      <c r="AR106" s="28">
        <v>85.7</v>
      </c>
      <c r="AS106" s="28">
        <v>10.6</v>
      </c>
      <c r="AT106" s="28">
        <v>3.63</v>
      </c>
      <c r="AU106" s="28">
        <v>49.8</v>
      </c>
      <c r="AV106" s="28">
        <v>14.6</v>
      </c>
      <c r="AW106" s="28">
        <v>48.5</v>
      </c>
      <c r="AX106" s="28">
        <v>3.87</v>
      </c>
      <c r="AY106" s="28">
        <v>39.700000000000003</v>
      </c>
      <c r="AZ106" s="28">
        <v>0.32</v>
      </c>
      <c r="BA106" s="28">
        <v>6.51</v>
      </c>
      <c r="BB106" s="28">
        <v>51.2</v>
      </c>
      <c r="BC106" s="28">
        <v>82.7</v>
      </c>
      <c r="BD106" s="28">
        <v>0.28000000000000003</v>
      </c>
      <c r="BE106" s="28">
        <v>2.15</v>
      </c>
      <c r="BF106" s="28">
        <v>16.7</v>
      </c>
      <c r="BG106" s="28">
        <v>28.8</v>
      </c>
      <c r="BH106" s="28">
        <v>369</v>
      </c>
      <c r="BI106" s="28">
        <v>387</v>
      </c>
      <c r="BJ106" s="28">
        <v>187</v>
      </c>
      <c r="BK106" s="28">
        <v>425</v>
      </c>
      <c r="BL106" s="28">
        <v>171</v>
      </c>
      <c r="BM106" s="28">
        <v>-11.4</v>
      </c>
    </row>
    <row r="107" spans="1:65" x14ac:dyDescent="0.5">
      <c r="A107" s="44">
        <v>204</v>
      </c>
      <c r="B107" s="28">
        <v>15.4</v>
      </c>
      <c r="C107" s="28">
        <v>1.26</v>
      </c>
      <c r="D107" s="28">
        <v>8.8999999999999996E-2</v>
      </c>
      <c r="E107" s="28">
        <v>55.2</v>
      </c>
      <c r="F107" s="28">
        <v>43.4</v>
      </c>
      <c r="G107" s="28">
        <v>60.6</v>
      </c>
      <c r="H107" s="28">
        <v>2.3E-2</v>
      </c>
      <c r="I107" s="28">
        <v>1.44</v>
      </c>
      <c r="J107" s="28">
        <v>1.4</v>
      </c>
      <c r="K107" s="28">
        <v>58.3</v>
      </c>
      <c r="L107" s="28">
        <v>28.6</v>
      </c>
      <c r="M107" s="28">
        <v>5.67</v>
      </c>
      <c r="N107" s="28">
        <v>51.4</v>
      </c>
      <c r="O107" s="28">
        <v>37.799999999999997</v>
      </c>
      <c r="P107" s="28">
        <v>2.99</v>
      </c>
      <c r="Q107" s="28">
        <v>27.3</v>
      </c>
      <c r="R107" s="28">
        <v>55.5</v>
      </c>
      <c r="S107" s="28">
        <v>6.12</v>
      </c>
      <c r="T107" s="28">
        <v>30</v>
      </c>
      <c r="U107" s="28">
        <v>8.3000000000000007</v>
      </c>
      <c r="V107" s="28">
        <v>52.9</v>
      </c>
      <c r="W107" s="28">
        <v>13.2</v>
      </c>
      <c r="X107" s="28">
        <v>43.8</v>
      </c>
      <c r="Y107" s="28">
        <v>4.54</v>
      </c>
      <c r="Z107" s="28">
        <v>39.299999999999997</v>
      </c>
      <c r="AA107" s="28">
        <v>12.3</v>
      </c>
      <c r="AB107" s="28">
        <v>28.6</v>
      </c>
      <c r="AC107" s="28">
        <v>3.34</v>
      </c>
      <c r="AD107" s="28">
        <v>4.66</v>
      </c>
      <c r="AE107" s="28">
        <v>6.41</v>
      </c>
      <c r="AF107" s="28">
        <v>85.6</v>
      </c>
      <c r="AG107" s="28">
        <v>21.5</v>
      </c>
      <c r="AH107" s="28">
        <v>1.88</v>
      </c>
      <c r="AI107" s="28">
        <v>47.6</v>
      </c>
      <c r="AJ107" s="28">
        <v>48.4</v>
      </c>
      <c r="AK107" s="28">
        <v>1.05</v>
      </c>
      <c r="AL107" s="28">
        <v>20.3</v>
      </c>
      <c r="AM107" s="28">
        <v>22.7</v>
      </c>
      <c r="AN107" s="28">
        <v>3.99</v>
      </c>
      <c r="AO107" s="28">
        <v>6</v>
      </c>
      <c r="AP107" s="28">
        <v>8.74</v>
      </c>
      <c r="AQ107" s="28">
        <v>8.74</v>
      </c>
      <c r="AR107" s="28">
        <v>79.8</v>
      </c>
      <c r="AS107" s="28">
        <v>1.02</v>
      </c>
      <c r="AT107" s="28">
        <v>9.3000000000000007</v>
      </c>
      <c r="AU107" s="28">
        <v>70</v>
      </c>
      <c r="AV107" s="28">
        <v>12.8</v>
      </c>
      <c r="AW107" s="28">
        <v>37</v>
      </c>
      <c r="AX107" s="28">
        <v>3.61</v>
      </c>
      <c r="AY107" s="28">
        <v>47.3</v>
      </c>
      <c r="AZ107" s="28">
        <v>0.17</v>
      </c>
      <c r="BA107" s="28">
        <v>4.93</v>
      </c>
      <c r="BB107" s="28">
        <v>59.6</v>
      </c>
      <c r="BC107" s="28">
        <v>79.8</v>
      </c>
      <c r="BD107" s="28">
        <v>0.14000000000000001</v>
      </c>
      <c r="BE107" s="28">
        <v>1.36</v>
      </c>
      <c r="BF107" s="28">
        <v>4.5599999999999996</v>
      </c>
      <c r="BG107" s="28">
        <v>-102</v>
      </c>
      <c r="BH107" s="28">
        <v>305</v>
      </c>
      <c r="BI107" s="28">
        <v>526</v>
      </c>
      <c r="BJ107" s="28">
        <v>533</v>
      </c>
      <c r="BK107" s="28">
        <v>763</v>
      </c>
      <c r="BL107" s="28">
        <v>110</v>
      </c>
      <c r="BM107" s="28">
        <v>48.3</v>
      </c>
    </row>
    <row r="108" spans="1:65" x14ac:dyDescent="0.5">
      <c r="A108" s="44">
        <v>205</v>
      </c>
      <c r="B108" s="30">
        <v>7.19</v>
      </c>
      <c r="C108" s="30">
        <v>12.2</v>
      </c>
      <c r="D108" s="30">
        <v>0.16</v>
      </c>
      <c r="E108" s="30">
        <v>51.6</v>
      </c>
      <c r="F108" s="30">
        <v>35.9</v>
      </c>
      <c r="G108" s="30">
        <v>67.7</v>
      </c>
      <c r="H108" s="30">
        <v>4.1000000000000002E-2</v>
      </c>
      <c r="I108" s="30">
        <v>11.2</v>
      </c>
      <c r="J108" s="30">
        <v>3.8</v>
      </c>
      <c r="K108" s="30">
        <v>56.2</v>
      </c>
      <c r="L108" s="30">
        <v>35.6</v>
      </c>
      <c r="M108" s="30">
        <v>4.82</v>
      </c>
      <c r="N108" s="30">
        <v>64.7</v>
      </c>
      <c r="O108" s="30">
        <v>14.1</v>
      </c>
      <c r="P108" s="30">
        <v>12.3</v>
      </c>
      <c r="Q108" s="30">
        <v>22.2</v>
      </c>
      <c r="R108" s="30">
        <v>32.200000000000003</v>
      </c>
      <c r="S108" s="30">
        <v>19.899999999999999</v>
      </c>
      <c r="T108" s="30">
        <v>35.1</v>
      </c>
      <c r="U108" s="30">
        <v>12.8</v>
      </c>
      <c r="V108" s="30">
        <v>66.2</v>
      </c>
      <c r="W108" s="30">
        <v>6.43</v>
      </c>
      <c r="X108" s="30">
        <v>33.299999999999997</v>
      </c>
      <c r="Y108" s="30">
        <v>8.18</v>
      </c>
      <c r="Z108" s="30">
        <v>36.6</v>
      </c>
      <c r="AA108" s="30">
        <v>21.8</v>
      </c>
      <c r="AB108" s="30">
        <v>19.600000000000001</v>
      </c>
      <c r="AC108" s="30">
        <v>2.37</v>
      </c>
      <c r="AD108" s="30">
        <v>5.0599999999999996</v>
      </c>
      <c r="AE108" s="30">
        <v>10.3</v>
      </c>
      <c r="AF108" s="30">
        <v>80</v>
      </c>
      <c r="AG108" s="30">
        <v>20.5</v>
      </c>
      <c r="AH108" s="30">
        <v>2.38</v>
      </c>
      <c r="AI108" s="30">
        <v>17.100000000000001</v>
      </c>
      <c r="AJ108" s="30">
        <v>61.7</v>
      </c>
      <c r="AK108" s="30">
        <v>14.8</v>
      </c>
      <c r="AL108" s="30">
        <v>16.7</v>
      </c>
      <c r="AM108" s="30">
        <v>30</v>
      </c>
      <c r="AN108" s="30">
        <v>0.35</v>
      </c>
      <c r="AO108" s="30">
        <v>0.78</v>
      </c>
      <c r="AP108" s="30">
        <v>1.34</v>
      </c>
      <c r="AQ108" s="30">
        <v>1.31</v>
      </c>
      <c r="AR108" s="30">
        <v>70.900000000000006</v>
      </c>
      <c r="AS108" s="30">
        <v>28</v>
      </c>
      <c r="AT108" s="30">
        <v>1.1100000000000001</v>
      </c>
      <c r="AU108" s="30">
        <v>76.400000000000006</v>
      </c>
      <c r="AV108" s="30">
        <v>22.1</v>
      </c>
      <c r="AW108" s="30">
        <v>45.7</v>
      </c>
      <c r="AX108" s="30">
        <v>4.01</v>
      </c>
      <c r="AY108" s="30">
        <v>48.7</v>
      </c>
      <c r="AZ108" s="30">
        <v>0.39</v>
      </c>
      <c r="BA108" s="30">
        <v>7.31</v>
      </c>
      <c r="BB108" s="30">
        <v>36.9</v>
      </c>
      <c r="BC108" s="30">
        <v>44.8</v>
      </c>
      <c r="BD108" s="30">
        <v>1.1599999999999999</v>
      </c>
      <c r="BE108" s="30">
        <v>3.99</v>
      </c>
      <c r="BF108" s="30">
        <v>6.19</v>
      </c>
      <c r="BG108" s="30">
        <v>-88.5</v>
      </c>
      <c r="BH108" s="30">
        <v>139</v>
      </c>
      <c r="BI108" s="30">
        <v>212</v>
      </c>
      <c r="BJ108" s="30">
        <v>261</v>
      </c>
      <c r="BK108" s="30">
        <v>620</v>
      </c>
      <c r="BL108" s="30">
        <v>254</v>
      </c>
      <c r="BM108" s="30">
        <v>-31.6</v>
      </c>
    </row>
    <row r="109" spans="1:65" x14ac:dyDescent="0.5">
      <c r="A109" s="44">
        <v>206</v>
      </c>
      <c r="B109" s="28">
        <v>5.63</v>
      </c>
      <c r="C109" s="28">
        <v>8.27</v>
      </c>
      <c r="D109" s="28">
        <v>9.0999999999999998E-2</v>
      </c>
      <c r="E109" s="28">
        <v>66</v>
      </c>
      <c r="F109" s="28">
        <v>25.6</v>
      </c>
      <c r="G109" s="28">
        <v>78.599999999999994</v>
      </c>
      <c r="H109" s="28">
        <v>5.2999999999999999E-2</v>
      </c>
      <c r="I109" s="28">
        <v>5.65</v>
      </c>
      <c r="J109" s="28">
        <v>2.5299999999999998</v>
      </c>
      <c r="K109" s="28">
        <v>71.5</v>
      </c>
      <c r="L109" s="28">
        <v>51.2</v>
      </c>
      <c r="M109" s="28">
        <v>6.79</v>
      </c>
      <c r="N109" s="28">
        <v>51.2</v>
      </c>
      <c r="O109" s="28">
        <v>24.3</v>
      </c>
      <c r="P109" s="28">
        <v>17.2</v>
      </c>
      <c r="Q109" s="28">
        <v>34.4</v>
      </c>
      <c r="R109" s="28">
        <v>36.9</v>
      </c>
      <c r="S109" s="28">
        <v>10.7</v>
      </c>
      <c r="T109" s="28">
        <v>43.3</v>
      </c>
      <c r="U109" s="28">
        <v>9.1300000000000008</v>
      </c>
      <c r="V109" s="28">
        <v>50.5</v>
      </c>
      <c r="W109" s="28">
        <v>6.59</v>
      </c>
      <c r="X109" s="28">
        <v>40.299999999999997</v>
      </c>
      <c r="Y109" s="28">
        <v>2.0299999999999998</v>
      </c>
      <c r="Z109" s="28">
        <v>53.5</v>
      </c>
      <c r="AA109" s="28">
        <v>4.2300000000000004</v>
      </c>
      <c r="AB109" s="28">
        <v>19.3</v>
      </c>
      <c r="AC109" s="28">
        <v>4.84</v>
      </c>
      <c r="AD109" s="28">
        <v>25.7</v>
      </c>
      <c r="AE109" s="28">
        <v>31.7</v>
      </c>
      <c r="AF109" s="28">
        <v>37.700000000000003</v>
      </c>
      <c r="AG109" s="28">
        <v>11</v>
      </c>
      <c r="AH109" s="28">
        <v>13.6</v>
      </c>
      <c r="AI109" s="28">
        <v>15.7</v>
      </c>
      <c r="AJ109" s="28">
        <v>57.3</v>
      </c>
      <c r="AK109" s="28">
        <v>7.07</v>
      </c>
      <c r="AL109" s="28">
        <v>19.8</v>
      </c>
      <c r="AM109" s="28">
        <v>15.7</v>
      </c>
      <c r="AN109" s="28">
        <v>1.51</v>
      </c>
      <c r="AO109" s="28">
        <v>0.69</v>
      </c>
      <c r="AP109" s="28">
        <v>22.6</v>
      </c>
      <c r="AQ109" s="28">
        <v>2.2400000000000002</v>
      </c>
      <c r="AR109" s="28">
        <v>85.3</v>
      </c>
      <c r="AS109" s="28">
        <v>12.5</v>
      </c>
      <c r="AT109" s="28">
        <v>2.0499999999999998</v>
      </c>
      <c r="AU109" s="28">
        <v>65.400000000000006</v>
      </c>
      <c r="AV109" s="28">
        <v>10.4</v>
      </c>
      <c r="AW109" s="28">
        <v>45.9</v>
      </c>
      <c r="AX109" s="28">
        <v>9.43</v>
      </c>
      <c r="AY109" s="28">
        <v>38.200000000000003</v>
      </c>
      <c r="AZ109" s="28">
        <v>0.82</v>
      </c>
      <c r="BA109" s="28">
        <v>7.45</v>
      </c>
      <c r="BB109" s="28">
        <v>63.3</v>
      </c>
      <c r="BC109" s="28">
        <v>84.1</v>
      </c>
      <c r="BD109" s="28">
        <v>0.14000000000000001</v>
      </c>
      <c r="BE109" s="28">
        <v>1.71</v>
      </c>
      <c r="BF109" s="28">
        <v>3.88</v>
      </c>
      <c r="BG109" s="28">
        <v>14.1</v>
      </c>
      <c r="BH109" s="28">
        <v>297</v>
      </c>
      <c r="BI109" s="28">
        <v>512</v>
      </c>
      <c r="BJ109" s="28">
        <v>349</v>
      </c>
      <c r="BK109" s="28">
        <v>438</v>
      </c>
      <c r="BL109" s="28">
        <v>106</v>
      </c>
      <c r="BM109" s="28">
        <v>-12.8</v>
      </c>
    </row>
    <row r="110" spans="1:65" x14ac:dyDescent="0.5">
      <c r="A110" s="44">
        <v>207</v>
      </c>
      <c r="B110" s="30">
        <v>9.4700000000000006</v>
      </c>
      <c r="C110" s="30">
        <v>7.95</v>
      </c>
      <c r="D110" s="30">
        <v>1.1100000000000001</v>
      </c>
      <c r="E110" s="30">
        <v>33.9</v>
      </c>
      <c r="F110" s="30">
        <v>56.8</v>
      </c>
      <c r="G110" s="30">
        <v>76.599999999999994</v>
      </c>
      <c r="H110" s="30">
        <v>5.3999999999999999E-2</v>
      </c>
      <c r="I110" s="30">
        <v>5.92</v>
      </c>
      <c r="J110" s="30">
        <v>12.4</v>
      </c>
      <c r="K110" s="30">
        <v>59.6</v>
      </c>
      <c r="L110" s="30">
        <v>33.799999999999997</v>
      </c>
      <c r="M110" s="30">
        <v>4.4000000000000004</v>
      </c>
      <c r="N110" s="30">
        <v>41.4</v>
      </c>
      <c r="O110" s="30">
        <v>22.4</v>
      </c>
      <c r="P110" s="30">
        <v>26.4</v>
      </c>
      <c r="Q110" s="30">
        <v>43.4</v>
      </c>
      <c r="R110" s="30">
        <v>19.8</v>
      </c>
      <c r="S110" s="30">
        <v>24.7</v>
      </c>
      <c r="T110" s="30">
        <v>42.5</v>
      </c>
      <c r="U110" s="30">
        <v>12.9</v>
      </c>
      <c r="V110" s="30">
        <v>40.1</v>
      </c>
      <c r="W110" s="30">
        <v>9.26</v>
      </c>
      <c r="X110" s="30">
        <v>27.5</v>
      </c>
      <c r="Y110" s="30">
        <v>10.1</v>
      </c>
      <c r="Z110" s="30">
        <v>37</v>
      </c>
      <c r="AA110" s="30">
        <v>25.5</v>
      </c>
      <c r="AB110" s="30">
        <v>24.4</v>
      </c>
      <c r="AC110" s="30">
        <v>6.92</v>
      </c>
      <c r="AD110" s="30">
        <v>9.9499999999999993</v>
      </c>
      <c r="AE110" s="30">
        <v>61.2</v>
      </c>
      <c r="AF110" s="30">
        <v>16.899999999999999</v>
      </c>
      <c r="AG110" s="30">
        <v>11.1</v>
      </c>
      <c r="AH110" s="30">
        <v>1.95</v>
      </c>
      <c r="AI110" s="30">
        <v>30.8</v>
      </c>
      <c r="AJ110" s="30">
        <v>55.2</v>
      </c>
      <c r="AK110" s="30">
        <v>6.92</v>
      </c>
      <c r="AL110" s="30">
        <v>20.2</v>
      </c>
      <c r="AM110" s="30">
        <v>16.5</v>
      </c>
      <c r="AN110" s="30">
        <v>0.76</v>
      </c>
      <c r="AO110" s="30">
        <v>3</v>
      </c>
      <c r="AP110" s="30">
        <v>1.51</v>
      </c>
      <c r="AQ110" s="30">
        <v>6.36</v>
      </c>
      <c r="AR110" s="30">
        <v>72</v>
      </c>
      <c r="AS110" s="30">
        <v>23.9</v>
      </c>
      <c r="AT110" s="30">
        <v>3.83</v>
      </c>
      <c r="AU110" s="30">
        <v>74.2</v>
      </c>
      <c r="AV110" s="30">
        <v>18.600000000000001</v>
      </c>
      <c r="AW110" s="30">
        <v>55</v>
      </c>
      <c r="AX110" s="30">
        <v>5.93</v>
      </c>
      <c r="AY110" s="30">
        <v>37.1</v>
      </c>
      <c r="AZ110" s="30">
        <v>2.48</v>
      </c>
      <c r="BA110" s="30">
        <v>5.04</v>
      </c>
      <c r="BB110" s="30">
        <v>16.8</v>
      </c>
      <c r="BC110" s="30">
        <v>62.8</v>
      </c>
      <c r="BD110" s="30">
        <v>1.62</v>
      </c>
      <c r="BE110" s="30">
        <v>3.84</v>
      </c>
      <c r="BF110" s="30">
        <v>11.1</v>
      </c>
      <c r="BG110" s="30">
        <v>-68</v>
      </c>
      <c r="BH110" s="30">
        <v>106</v>
      </c>
      <c r="BI110" s="30">
        <v>184</v>
      </c>
      <c r="BJ110" s="30">
        <v>202</v>
      </c>
      <c r="BK110" s="30">
        <v>256</v>
      </c>
      <c r="BL110" s="30">
        <v>77.2</v>
      </c>
      <c r="BM110" s="30">
        <v>25.1</v>
      </c>
    </row>
    <row r="111" spans="1:65" x14ac:dyDescent="0.5">
      <c r="A111" s="44">
        <v>208</v>
      </c>
      <c r="B111" s="28">
        <v>7.34</v>
      </c>
      <c r="C111" s="28">
        <v>9.01</v>
      </c>
      <c r="D111" s="28">
        <v>0.25</v>
      </c>
      <c r="E111" s="28">
        <v>57.6</v>
      </c>
      <c r="F111" s="28">
        <v>33.1</v>
      </c>
      <c r="G111" s="28">
        <v>74.8</v>
      </c>
      <c r="H111" s="28">
        <v>8.5999999999999993E-2</v>
      </c>
      <c r="I111" s="28">
        <v>6.07</v>
      </c>
      <c r="J111" s="28">
        <v>2.5499999999999998</v>
      </c>
      <c r="K111" s="28">
        <v>67.599999999999994</v>
      </c>
      <c r="L111" s="28">
        <v>40.200000000000003</v>
      </c>
      <c r="M111" s="28">
        <v>5.65</v>
      </c>
      <c r="N111" s="28">
        <v>48.8</v>
      </c>
      <c r="O111" s="28">
        <v>22.4</v>
      </c>
      <c r="P111" s="28">
        <v>21.3</v>
      </c>
      <c r="Q111" s="28">
        <v>39.799999999999997</v>
      </c>
      <c r="R111" s="28">
        <v>28.8</v>
      </c>
      <c r="S111" s="28">
        <v>12.5</v>
      </c>
      <c r="T111" s="28">
        <v>53.5</v>
      </c>
      <c r="U111" s="28">
        <v>5.24</v>
      </c>
      <c r="V111" s="28">
        <v>46.5</v>
      </c>
      <c r="W111" s="28">
        <v>4.8099999999999996</v>
      </c>
      <c r="X111" s="28">
        <v>37.9</v>
      </c>
      <c r="Y111" s="28">
        <v>1.67</v>
      </c>
      <c r="Z111" s="28">
        <v>56.4</v>
      </c>
      <c r="AA111" s="28">
        <v>4.05</v>
      </c>
      <c r="AB111" s="28">
        <v>24.2</v>
      </c>
      <c r="AC111" s="28">
        <v>4.3</v>
      </c>
      <c r="AD111" s="28">
        <v>14.6</v>
      </c>
      <c r="AE111" s="28">
        <v>49.2</v>
      </c>
      <c r="AF111" s="28">
        <v>31.7</v>
      </c>
      <c r="AG111" s="28">
        <v>11.6</v>
      </c>
      <c r="AH111" s="28">
        <v>11.2</v>
      </c>
      <c r="AI111" s="28">
        <v>39.700000000000003</v>
      </c>
      <c r="AJ111" s="28">
        <v>34.9</v>
      </c>
      <c r="AK111" s="28">
        <v>4.8600000000000003</v>
      </c>
      <c r="AL111" s="28">
        <v>4.58</v>
      </c>
      <c r="AM111" s="28">
        <v>38.9</v>
      </c>
      <c r="AN111" s="28">
        <v>0.67</v>
      </c>
      <c r="AO111" s="28">
        <v>4.9400000000000004</v>
      </c>
      <c r="AP111" s="28">
        <v>4.7300000000000004</v>
      </c>
      <c r="AQ111" s="28">
        <v>7.52</v>
      </c>
      <c r="AR111" s="28">
        <v>81.5</v>
      </c>
      <c r="AS111" s="28">
        <v>12.2</v>
      </c>
      <c r="AT111" s="28">
        <v>5.99</v>
      </c>
      <c r="AU111" s="28">
        <v>81.400000000000006</v>
      </c>
      <c r="AV111" s="28">
        <v>6.04</v>
      </c>
      <c r="AW111" s="28">
        <v>48.5</v>
      </c>
      <c r="AX111" s="28">
        <v>2.3199999999999998</v>
      </c>
      <c r="AY111" s="28">
        <v>44.6</v>
      </c>
      <c r="AZ111" s="28">
        <v>2.71</v>
      </c>
      <c r="BA111" s="28">
        <v>16.600000000000001</v>
      </c>
      <c r="BB111" s="28">
        <v>57.8</v>
      </c>
      <c r="BC111" s="28">
        <v>79.400000000000006</v>
      </c>
      <c r="BD111" s="28">
        <v>0.24</v>
      </c>
      <c r="BE111" s="28">
        <v>1.84</v>
      </c>
      <c r="BF111" s="28">
        <v>7.55</v>
      </c>
      <c r="BG111" s="28">
        <v>57.5</v>
      </c>
      <c r="BH111" s="28">
        <v>325</v>
      </c>
      <c r="BI111" s="28">
        <v>426</v>
      </c>
      <c r="BJ111" s="28">
        <v>400</v>
      </c>
      <c r="BK111" s="28">
        <v>384</v>
      </c>
      <c r="BL111" s="28">
        <v>74.3</v>
      </c>
      <c r="BM111" s="28">
        <v>26.9</v>
      </c>
    </row>
    <row r="112" spans="1:65" x14ac:dyDescent="0.5">
      <c r="A112" s="44">
        <v>209</v>
      </c>
      <c r="B112" s="28">
        <v>19.3</v>
      </c>
      <c r="C112" s="28">
        <v>3.27</v>
      </c>
      <c r="D112" s="28">
        <v>1.53</v>
      </c>
      <c r="E112" s="28">
        <v>50.7</v>
      </c>
      <c r="F112" s="28">
        <v>44.5</v>
      </c>
      <c r="G112" s="28">
        <v>69.7</v>
      </c>
      <c r="H112" s="34">
        <v>7.8300000000000002E-3</v>
      </c>
      <c r="I112" s="28">
        <v>4.8</v>
      </c>
      <c r="J112" s="28">
        <v>1.98</v>
      </c>
      <c r="K112" s="28">
        <v>64.099999999999994</v>
      </c>
      <c r="L112" s="28">
        <v>48.8</v>
      </c>
      <c r="M112" s="28">
        <v>5.61</v>
      </c>
      <c r="N112" s="28">
        <v>72.599999999999994</v>
      </c>
      <c r="O112" s="28">
        <v>15.5</v>
      </c>
      <c r="P112" s="28">
        <v>4.8600000000000003</v>
      </c>
      <c r="Q112" s="28">
        <v>17.399999999999999</v>
      </c>
      <c r="R112" s="28">
        <v>26.6</v>
      </c>
      <c r="S112" s="28">
        <v>20.399999999999999</v>
      </c>
      <c r="T112" s="28">
        <v>39.6</v>
      </c>
      <c r="U112" s="28">
        <v>13.4</v>
      </c>
      <c r="V112" s="28">
        <v>73.099999999999994</v>
      </c>
      <c r="W112" s="28">
        <v>3.27</v>
      </c>
      <c r="X112" s="28">
        <v>30.2</v>
      </c>
      <c r="Y112" s="28">
        <v>8.7100000000000009</v>
      </c>
      <c r="Z112" s="28">
        <v>40.5</v>
      </c>
      <c r="AA112" s="28">
        <v>20.6</v>
      </c>
      <c r="AB112" s="28">
        <v>14.6</v>
      </c>
      <c r="AC112" s="28">
        <v>5.92</v>
      </c>
      <c r="AD112" s="28">
        <v>8.68</v>
      </c>
      <c r="AE112" s="28">
        <v>16.100000000000001</v>
      </c>
      <c r="AF112" s="28">
        <v>69.2</v>
      </c>
      <c r="AG112" s="28">
        <v>10.4</v>
      </c>
      <c r="AH112" s="28">
        <v>1.87</v>
      </c>
      <c r="AI112" s="28">
        <v>17.7</v>
      </c>
      <c r="AJ112" s="28">
        <v>66.7</v>
      </c>
      <c r="AK112" s="28">
        <v>7.66</v>
      </c>
      <c r="AL112" s="28">
        <v>7.78</v>
      </c>
      <c r="AM112" s="28">
        <v>14.4</v>
      </c>
      <c r="AN112" s="28">
        <v>0.36</v>
      </c>
      <c r="AO112" s="28">
        <v>0.28000000000000003</v>
      </c>
      <c r="AP112" s="28">
        <v>1.27</v>
      </c>
      <c r="AQ112" s="28">
        <v>3.75</v>
      </c>
      <c r="AR112" s="28">
        <v>94.5</v>
      </c>
      <c r="AS112" s="28">
        <v>5.16</v>
      </c>
      <c r="AT112" s="28">
        <v>0.3</v>
      </c>
      <c r="AU112" s="28">
        <v>90.7</v>
      </c>
      <c r="AV112" s="28">
        <v>5.2</v>
      </c>
      <c r="AW112" s="28">
        <v>63.9</v>
      </c>
      <c r="AX112" s="28">
        <v>7.9</v>
      </c>
      <c r="AY112" s="28">
        <v>23</v>
      </c>
      <c r="AZ112" s="28">
        <v>0.64</v>
      </c>
      <c r="BA112" s="28">
        <v>10.6</v>
      </c>
      <c r="BB112" s="28">
        <v>55.3</v>
      </c>
      <c r="BC112" s="28">
        <v>52.5</v>
      </c>
      <c r="BD112" s="28">
        <v>0.25</v>
      </c>
      <c r="BE112" s="28">
        <v>1.68</v>
      </c>
      <c r="BF112" s="28">
        <v>6.2</v>
      </c>
      <c r="BG112" s="28">
        <v>30</v>
      </c>
      <c r="BH112" s="28">
        <v>429</v>
      </c>
      <c r="BI112" s="28">
        <v>582</v>
      </c>
      <c r="BJ112" s="28">
        <v>593</v>
      </c>
      <c r="BK112" s="28">
        <v>936</v>
      </c>
      <c r="BL112" s="28">
        <v>500</v>
      </c>
      <c r="BM112" s="28">
        <v>23.6</v>
      </c>
    </row>
    <row r="113" spans="1:65" x14ac:dyDescent="0.5">
      <c r="A113" s="44">
        <v>210</v>
      </c>
      <c r="B113" s="30">
        <v>6.05</v>
      </c>
      <c r="C113" s="30">
        <v>8.4499999999999993</v>
      </c>
      <c r="D113" s="30">
        <v>7.9000000000000001E-2</v>
      </c>
      <c r="E113" s="30">
        <v>46.5</v>
      </c>
      <c r="F113" s="30">
        <v>44.9</v>
      </c>
      <c r="G113" s="30">
        <v>79.8</v>
      </c>
      <c r="H113" s="30">
        <v>2.9000000000000001E-2</v>
      </c>
      <c r="I113" s="30">
        <v>2.93</v>
      </c>
      <c r="J113" s="30">
        <v>1.78</v>
      </c>
      <c r="K113" s="30">
        <v>75.599999999999994</v>
      </c>
      <c r="L113" s="30">
        <v>54.3</v>
      </c>
      <c r="M113" s="30">
        <v>1.73</v>
      </c>
      <c r="N113" s="30">
        <v>59.9</v>
      </c>
      <c r="O113" s="30">
        <v>27.2</v>
      </c>
      <c r="P113" s="30">
        <v>7.17</v>
      </c>
      <c r="Q113" s="30">
        <v>31.8</v>
      </c>
      <c r="R113" s="30">
        <v>60.3</v>
      </c>
      <c r="S113" s="30">
        <v>4.47</v>
      </c>
      <c r="T113" s="30">
        <v>28.9</v>
      </c>
      <c r="U113" s="30">
        <v>6.32</v>
      </c>
      <c r="V113" s="30">
        <v>62.1</v>
      </c>
      <c r="W113" s="30">
        <v>5.9</v>
      </c>
      <c r="X113" s="30">
        <v>53.1</v>
      </c>
      <c r="Y113" s="30">
        <v>1.18</v>
      </c>
      <c r="Z113" s="30">
        <v>39</v>
      </c>
      <c r="AA113" s="30">
        <v>6.67</v>
      </c>
      <c r="AB113" s="30">
        <v>20.5</v>
      </c>
      <c r="AC113" s="30">
        <v>7.9</v>
      </c>
      <c r="AD113" s="30">
        <v>5.04</v>
      </c>
      <c r="AE113" s="30">
        <v>47.1</v>
      </c>
      <c r="AF113" s="30">
        <v>34.5</v>
      </c>
      <c r="AG113" s="30">
        <v>9.6999999999999993</v>
      </c>
      <c r="AH113" s="30">
        <v>3.83</v>
      </c>
      <c r="AI113" s="30">
        <v>52.3</v>
      </c>
      <c r="AJ113" s="30">
        <v>36.200000000000003</v>
      </c>
      <c r="AK113" s="30">
        <v>1.38</v>
      </c>
      <c r="AL113" s="30">
        <v>11.5</v>
      </c>
      <c r="AM113" s="30">
        <v>7.76</v>
      </c>
      <c r="AN113" s="30">
        <v>0.82</v>
      </c>
      <c r="AO113" s="30">
        <v>0.93</v>
      </c>
      <c r="AP113" s="30">
        <v>3.9</v>
      </c>
      <c r="AQ113" s="30">
        <v>10.4</v>
      </c>
      <c r="AR113" s="30">
        <v>59.3</v>
      </c>
      <c r="AS113" s="30">
        <v>38.4</v>
      </c>
      <c r="AT113" s="30">
        <v>2.1</v>
      </c>
      <c r="AU113" s="30">
        <v>65.5</v>
      </c>
      <c r="AV113" s="30">
        <v>21.6</v>
      </c>
      <c r="AW113" s="30">
        <v>71.400000000000006</v>
      </c>
      <c r="AX113" s="30">
        <v>4.04</v>
      </c>
      <c r="AY113" s="30">
        <v>20.399999999999999</v>
      </c>
      <c r="AZ113" s="30">
        <v>2.54</v>
      </c>
      <c r="BA113" s="30">
        <v>8.81</v>
      </c>
      <c r="BB113" s="30">
        <v>36.9</v>
      </c>
      <c r="BC113" s="30">
        <v>60.2</v>
      </c>
      <c r="BD113" s="30">
        <v>1.39</v>
      </c>
      <c r="BE113" s="30">
        <v>1.54</v>
      </c>
      <c r="BF113" s="30">
        <v>4.92</v>
      </c>
      <c r="BG113" s="30">
        <v>-85</v>
      </c>
      <c r="BH113" s="30">
        <v>166</v>
      </c>
      <c r="BI113" s="30">
        <v>164</v>
      </c>
      <c r="BJ113" s="30">
        <v>275</v>
      </c>
      <c r="BK113" s="30">
        <v>466</v>
      </c>
      <c r="BL113" s="30">
        <v>162</v>
      </c>
      <c r="BM113" s="30">
        <v>-2.34</v>
      </c>
    </row>
    <row r="114" spans="1:65" x14ac:dyDescent="0.5">
      <c r="A114" s="44">
        <v>211</v>
      </c>
      <c r="B114" s="30">
        <v>4.87</v>
      </c>
      <c r="C114" s="30">
        <v>12.2</v>
      </c>
      <c r="D114" s="30">
        <v>0.22</v>
      </c>
      <c r="E114" s="30">
        <v>45.4</v>
      </c>
      <c r="F114" s="30">
        <v>42</v>
      </c>
      <c r="G114" s="30">
        <v>71.7</v>
      </c>
      <c r="H114" s="30">
        <v>8.4000000000000005E-2</v>
      </c>
      <c r="I114" s="30">
        <v>1.35</v>
      </c>
      <c r="J114" s="30">
        <v>1.39</v>
      </c>
      <c r="K114" s="30">
        <v>69.2</v>
      </c>
      <c r="L114" s="30">
        <v>59.6</v>
      </c>
      <c r="M114" s="30">
        <v>3.13</v>
      </c>
      <c r="N114" s="30">
        <v>63.5</v>
      </c>
      <c r="O114" s="30">
        <v>20.399999999999999</v>
      </c>
      <c r="P114" s="30">
        <v>8.0299999999999994</v>
      </c>
      <c r="Q114" s="30">
        <v>24</v>
      </c>
      <c r="R114" s="30">
        <v>29.3</v>
      </c>
      <c r="S114" s="30">
        <v>26.9</v>
      </c>
      <c r="T114" s="30">
        <v>32.700000000000003</v>
      </c>
      <c r="U114" s="30">
        <v>11.1</v>
      </c>
      <c r="V114" s="30">
        <v>67</v>
      </c>
      <c r="W114" s="30">
        <v>7.03</v>
      </c>
      <c r="X114" s="30">
        <v>30.8</v>
      </c>
      <c r="Y114" s="30">
        <v>14.7</v>
      </c>
      <c r="Z114" s="30">
        <v>32.6</v>
      </c>
      <c r="AA114" s="30">
        <v>21.9</v>
      </c>
      <c r="AB114" s="30">
        <v>8.77</v>
      </c>
      <c r="AC114" s="30">
        <v>7.19</v>
      </c>
      <c r="AD114" s="30">
        <v>11.1</v>
      </c>
      <c r="AE114" s="30">
        <v>10.1</v>
      </c>
      <c r="AF114" s="30">
        <v>68.2</v>
      </c>
      <c r="AG114" s="30">
        <v>20.7</v>
      </c>
      <c r="AH114" s="30">
        <v>2.25</v>
      </c>
      <c r="AI114" s="30">
        <v>6.41</v>
      </c>
      <c r="AJ114" s="30">
        <v>79.900000000000006</v>
      </c>
      <c r="AK114" s="30">
        <v>9.66</v>
      </c>
      <c r="AL114" s="30">
        <v>28.7</v>
      </c>
      <c r="AM114" s="30">
        <v>27.8</v>
      </c>
      <c r="AN114" s="30">
        <v>0.41</v>
      </c>
      <c r="AO114" s="30">
        <v>0.71</v>
      </c>
      <c r="AP114" s="30">
        <v>1.65</v>
      </c>
      <c r="AQ114" s="30">
        <v>2.14</v>
      </c>
      <c r="AR114" s="30">
        <v>65</v>
      </c>
      <c r="AS114" s="30">
        <v>34.1</v>
      </c>
      <c r="AT114" s="30">
        <v>0.95</v>
      </c>
      <c r="AU114" s="30">
        <v>74.8</v>
      </c>
      <c r="AV114" s="30">
        <v>23</v>
      </c>
      <c r="AW114" s="30">
        <v>31.4</v>
      </c>
      <c r="AX114" s="30">
        <v>4.47</v>
      </c>
      <c r="AY114" s="30">
        <v>59</v>
      </c>
      <c r="AZ114" s="30">
        <v>0.38</v>
      </c>
      <c r="BA114" s="30">
        <v>14.5</v>
      </c>
      <c r="BB114" s="30">
        <v>47.6</v>
      </c>
      <c r="BC114" s="30">
        <v>49.3</v>
      </c>
      <c r="BD114" s="30">
        <v>1.41</v>
      </c>
      <c r="BE114" s="30">
        <v>6.14</v>
      </c>
      <c r="BF114" s="30">
        <v>12.8</v>
      </c>
      <c r="BG114" s="30">
        <v>-100</v>
      </c>
      <c r="BH114" s="30">
        <v>108</v>
      </c>
      <c r="BI114" s="30">
        <v>115</v>
      </c>
      <c r="BJ114" s="30">
        <v>301</v>
      </c>
      <c r="BK114" s="30">
        <v>576</v>
      </c>
      <c r="BL114" s="30">
        <v>280</v>
      </c>
      <c r="BM114" s="30">
        <v>-64.8</v>
      </c>
    </row>
    <row r="115" spans="1:65" x14ac:dyDescent="0.5">
      <c r="A115" s="44">
        <v>212</v>
      </c>
      <c r="B115" s="30">
        <v>9.8000000000000007</v>
      </c>
      <c r="C115" s="30">
        <v>4.5</v>
      </c>
      <c r="D115" s="30">
        <v>3.1E-2</v>
      </c>
      <c r="E115" s="30">
        <v>25.3</v>
      </c>
      <c r="F115" s="30">
        <v>70.2</v>
      </c>
      <c r="G115" s="30">
        <v>76.8</v>
      </c>
      <c r="H115" s="30">
        <v>0.28999999999999998</v>
      </c>
      <c r="I115" s="30">
        <v>4.1500000000000004</v>
      </c>
      <c r="J115" s="30">
        <v>5.71</v>
      </c>
      <c r="K115" s="30">
        <v>66</v>
      </c>
      <c r="L115" s="30">
        <v>44.9</v>
      </c>
      <c r="M115" s="30">
        <v>4.03</v>
      </c>
      <c r="N115" s="30">
        <v>46.7</v>
      </c>
      <c r="O115" s="30">
        <v>35.4</v>
      </c>
      <c r="P115" s="30">
        <v>12.7</v>
      </c>
      <c r="Q115" s="30">
        <v>43.7</v>
      </c>
      <c r="R115" s="30">
        <v>69.599999999999994</v>
      </c>
      <c r="S115" s="30">
        <v>3.87</v>
      </c>
      <c r="T115" s="30">
        <v>20.7</v>
      </c>
      <c r="U115" s="30">
        <v>5.86</v>
      </c>
      <c r="V115" s="30">
        <v>46.1</v>
      </c>
      <c r="W115" s="30">
        <v>4.82</v>
      </c>
      <c r="X115" s="30">
        <v>67.599999999999994</v>
      </c>
      <c r="Y115" s="30">
        <v>0.44</v>
      </c>
      <c r="Z115" s="30">
        <v>29.8</v>
      </c>
      <c r="AA115" s="30">
        <v>2.13</v>
      </c>
      <c r="AB115" s="30">
        <v>19.600000000000001</v>
      </c>
      <c r="AC115" s="30">
        <v>6.45</v>
      </c>
      <c r="AD115" s="30">
        <v>10.4</v>
      </c>
      <c r="AE115" s="30">
        <v>37.1</v>
      </c>
      <c r="AF115" s="30">
        <v>46</v>
      </c>
      <c r="AG115" s="30">
        <v>11.5</v>
      </c>
      <c r="AH115" s="30">
        <v>3.85</v>
      </c>
      <c r="AI115" s="30">
        <v>25.4</v>
      </c>
      <c r="AJ115" s="30">
        <v>48.6</v>
      </c>
      <c r="AK115" s="30">
        <v>10.4</v>
      </c>
      <c r="AL115" s="30">
        <v>4.46</v>
      </c>
      <c r="AM115" s="30">
        <v>18.2</v>
      </c>
      <c r="AN115" s="30">
        <v>1.39</v>
      </c>
      <c r="AO115" s="30">
        <v>1.37</v>
      </c>
      <c r="AP115" s="30">
        <v>5.2</v>
      </c>
      <c r="AQ115" s="30">
        <v>9.52</v>
      </c>
      <c r="AR115" s="30">
        <v>46.9</v>
      </c>
      <c r="AS115" s="30">
        <v>51.2</v>
      </c>
      <c r="AT115" s="30">
        <v>1.74</v>
      </c>
      <c r="AU115" s="30">
        <v>47.8</v>
      </c>
      <c r="AV115" s="30">
        <v>40.799999999999997</v>
      </c>
      <c r="AW115" s="30">
        <v>59</v>
      </c>
      <c r="AX115" s="30">
        <v>9.08</v>
      </c>
      <c r="AY115" s="30">
        <v>23.4</v>
      </c>
      <c r="AZ115" s="30">
        <v>3.77</v>
      </c>
      <c r="BA115" s="30">
        <v>11.5</v>
      </c>
      <c r="BB115" s="30">
        <v>42.5</v>
      </c>
      <c r="BC115" s="30">
        <v>75.3</v>
      </c>
      <c r="BD115" s="30">
        <v>0.3</v>
      </c>
      <c r="BE115" s="30">
        <v>0.96</v>
      </c>
      <c r="BF115" s="30">
        <v>22.8</v>
      </c>
      <c r="BG115" s="30">
        <v>-14.8</v>
      </c>
      <c r="BH115" s="30">
        <v>278</v>
      </c>
      <c r="BI115" s="30">
        <v>204</v>
      </c>
      <c r="BJ115" s="30">
        <v>697</v>
      </c>
      <c r="BK115" s="30">
        <v>934</v>
      </c>
      <c r="BL115" s="30">
        <v>203</v>
      </c>
      <c r="BM115" s="30">
        <v>60.8</v>
      </c>
    </row>
    <row r="116" spans="1:65" x14ac:dyDescent="0.5">
      <c r="A116" s="44">
        <v>213</v>
      </c>
      <c r="B116" s="28">
        <v>11.4</v>
      </c>
      <c r="C116" s="28">
        <v>2.89</v>
      </c>
      <c r="D116" s="34">
        <v>7.0899999999999999E-3</v>
      </c>
      <c r="E116" s="28">
        <v>62.2</v>
      </c>
      <c r="F116" s="28">
        <v>34.9</v>
      </c>
      <c r="G116" s="28">
        <v>71.900000000000006</v>
      </c>
      <c r="H116" s="28">
        <v>1.2999999999999999E-2</v>
      </c>
      <c r="I116" s="28">
        <v>1.21</v>
      </c>
      <c r="J116" s="28">
        <v>1.37</v>
      </c>
      <c r="K116" s="28">
        <v>69.7</v>
      </c>
      <c r="L116" s="28">
        <v>44.3</v>
      </c>
      <c r="M116" s="28">
        <v>6.04</v>
      </c>
      <c r="N116" s="28">
        <v>44.5</v>
      </c>
      <c r="O116" s="28">
        <v>38.5</v>
      </c>
      <c r="P116" s="28">
        <v>10.3</v>
      </c>
      <c r="Q116" s="28">
        <v>42.1</v>
      </c>
      <c r="R116" s="28">
        <v>44.1</v>
      </c>
      <c r="S116" s="28">
        <v>12.3</v>
      </c>
      <c r="T116" s="28">
        <v>32</v>
      </c>
      <c r="U116" s="28">
        <v>11.6</v>
      </c>
      <c r="V116" s="28">
        <v>44.8</v>
      </c>
      <c r="W116" s="28">
        <v>6.19</v>
      </c>
      <c r="X116" s="28">
        <v>35.1</v>
      </c>
      <c r="Y116" s="28">
        <v>8.49</v>
      </c>
      <c r="Z116" s="28">
        <v>33.200000000000003</v>
      </c>
      <c r="AA116" s="28">
        <v>23.3</v>
      </c>
      <c r="AB116" s="28">
        <v>23.4</v>
      </c>
      <c r="AC116" s="28">
        <v>8.85</v>
      </c>
      <c r="AD116" s="28">
        <v>26.1</v>
      </c>
      <c r="AE116" s="28">
        <v>40.1</v>
      </c>
      <c r="AF116" s="28">
        <v>25</v>
      </c>
      <c r="AG116" s="28">
        <v>13.1</v>
      </c>
      <c r="AH116" s="28">
        <v>3.16</v>
      </c>
      <c r="AI116" s="28">
        <v>12.2</v>
      </c>
      <c r="AJ116" s="28">
        <v>78.400000000000006</v>
      </c>
      <c r="AK116" s="28">
        <v>4.07</v>
      </c>
      <c r="AL116" s="28">
        <v>8.89</v>
      </c>
      <c r="AM116" s="28">
        <v>19.8</v>
      </c>
      <c r="AN116" s="28">
        <v>0.28000000000000003</v>
      </c>
      <c r="AO116" s="28">
        <v>1.35</v>
      </c>
      <c r="AP116" s="28">
        <v>4.66</v>
      </c>
      <c r="AQ116" s="28">
        <v>4.16</v>
      </c>
      <c r="AR116" s="28">
        <v>65.8</v>
      </c>
      <c r="AS116" s="28">
        <v>32.6</v>
      </c>
      <c r="AT116" s="28">
        <v>1.53</v>
      </c>
      <c r="AU116" s="28">
        <v>62.5</v>
      </c>
      <c r="AV116" s="28">
        <v>30</v>
      </c>
      <c r="AW116" s="28">
        <v>65.599999999999994</v>
      </c>
      <c r="AX116" s="28">
        <v>2.4300000000000002</v>
      </c>
      <c r="AY116" s="28">
        <v>29.1</v>
      </c>
      <c r="AZ116" s="28">
        <v>0.63</v>
      </c>
      <c r="BA116" s="28">
        <v>3.75</v>
      </c>
      <c r="BB116" s="28">
        <v>56.3</v>
      </c>
      <c r="BC116" s="28">
        <v>49</v>
      </c>
      <c r="BD116" s="28">
        <v>0.56000000000000005</v>
      </c>
      <c r="BE116" s="28">
        <v>0.86</v>
      </c>
      <c r="BF116" s="28">
        <v>23.3</v>
      </c>
      <c r="BG116" s="28">
        <v>-119</v>
      </c>
      <c r="BH116" s="28">
        <v>276</v>
      </c>
      <c r="BI116" s="28">
        <v>188</v>
      </c>
      <c r="BJ116" s="28">
        <v>257</v>
      </c>
      <c r="BK116" s="28">
        <v>162</v>
      </c>
      <c r="BL116" s="28">
        <v>-60.9</v>
      </c>
      <c r="BM116" s="28">
        <v>-114</v>
      </c>
    </row>
    <row r="117" spans="1:65" x14ac:dyDescent="0.5">
      <c r="A117" s="44">
        <v>214</v>
      </c>
      <c r="B117" s="28">
        <v>14.6</v>
      </c>
      <c r="C117" s="28">
        <v>3.47</v>
      </c>
      <c r="D117" s="28">
        <v>2.37</v>
      </c>
      <c r="E117" s="28">
        <v>46.8</v>
      </c>
      <c r="F117" s="28">
        <v>47.4</v>
      </c>
      <c r="G117" s="28">
        <v>80.8</v>
      </c>
      <c r="H117" s="28">
        <v>0.15</v>
      </c>
      <c r="I117" s="28">
        <v>7.77</v>
      </c>
      <c r="J117" s="28">
        <v>1</v>
      </c>
      <c r="K117" s="28">
        <v>73.3</v>
      </c>
      <c r="L117" s="28">
        <v>53.7</v>
      </c>
      <c r="M117" s="28">
        <v>7.03</v>
      </c>
      <c r="N117" s="28">
        <v>55.4</v>
      </c>
      <c r="O117" s="28">
        <v>26.3</v>
      </c>
      <c r="P117" s="28">
        <v>9.6199999999999992</v>
      </c>
      <c r="Q117" s="28">
        <v>30.4</v>
      </c>
      <c r="R117" s="28">
        <v>44.1</v>
      </c>
      <c r="S117" s="28">
        <v>9.73</v>
      </c>
      <c r="T117" s="28">
        <v>37.9</v>
      </c>
      <c r="U117" s="28">
        <v>8.24</v>
      </c>
      <c r="V117" s="28">
        <v>56.3</v>
      </c>
      <c r="W117" s="28">
        <v>6.07</v>
      </c>
      <c r="X117" s="28">
        <v>45.3</v>
      </c>
      <c r="Y117" s="28">
        <v>3.36</v>
      </c>
      <c r="Z117" s="28">
        <v>40.5</v>
      </c>
      <c r="AA117" s="28">
        <v>10.8</v>
      </c>
      <c r="AB117" s="28">
        <v>18.600000000000001</v>
      </c>
      <c r="AC117" s="28">
        <v>13.7</v>
      </c>
      <c r="AD117" s="28">
        <v>19.8</v>
      </c>
      <c r="AE117" s="28">
        <v>7</v>
      </c>
      <c r="AF117" s="28">
        <v>59.5</v>
      </c>
      <c r="AG117" s="28">
        <v>7.17</v>
      </c>
      <c r="AH117" s="28">
        <v>4.54</v>
      </c>
      <c r="AI117" s="28">
        <v>41.1</v>
      </c>
      <c r="AJ117" s="28">
        <v>36.6</v>
      </c>
      <c r="AK117" s="28">
        <v>6.79</v>
      </c>
      <c r="AL117" s="28">
        <v>14.2</v>
      </c>
      <c r="AM117" s="28">
        <v>12.7</v>
      </c>
      <c r="AN117" s="28">
        <v>1.07</v>
      </c>
      <c r="AO117" s="28">
        <v>1.61</v>
      </c>
      <c r="AP117" s="28">
        <v>2.71</v>
      </c>
      <c r="AQ117" s="28">
        <v>15.9</v>
      </c>
      <c r="AR117" s="28">
        <v>91.8</v>
      </c>
      <c r="AS117" s="28">
        <v>5.79</v>
      </c>
      <c r="AT117" s="28">
        <v>2.0699999999999998</v>
      </c>
      <c r="AU117" s="28">
        <v>78.599999999999994</v>
      </c>
      <c r="AV117" s="28">
        <v>3.9</v>
      </c>
      <c r="AW117" s="28">
        <v>63.8</v>
      </c>
      <c r="AX117" s="28">
        <v>5.19</v>
      </c>
      <c r="AY117" s="28">
        <v>27.1</v>
      </c>
      <c r="AZ117" s="28">
        <v>0.47</v>
      </c>
      <c r="BA117" s="28">
        <v>10.7</v>
      </c>
      <c r="BB117" s="28">
        <v>64.3</v>
      </c>
      <c r="BC117" s="28">
        <v>66.7</v>
      </c>
      <c r="BD117" s="28">
        <v>0.31</v>
      </c>
      <c r="BE117" s="28">
        <v>1.91</v>
      </c>
      <c r="BF117" s="28">
        <v>36.5</v>
      </c>
      <c r="BG117" s="28">
        <v>15.7</v>
      </c>
      <c r="BH117" s="28">
        <v>238</v>
      </c>
      <c r="BI117" s="28">
        <v>295</v>
      </c>
      <c r="BJ117" s="28">
        <v>356</v>
      </c>
      <c r="BK117" s="28">
        <v>597</v>
      </c>
      <c r="BL117" s="28">
        <v>140</v>
      </c>
      <c r="BM117" s="28">
        <v>-28.4</v>
      </c>
    </row>
    <row r="118" spans="1:65" x14ac:dyDescent="0.5">
      <c r="A118" s="44">
        <v>215</v>
      </c>
      <c r="B118" s="30">
        <v>16.899999999999999</v>
      </c>
      <c r="C118" s="30">
        <v>3.48</v>
      </c>
      <c r="D118" s="30">
        <v>0.42</v>
      </c>
      <c r="E118" s="30">
        <v>29</v>
      </c>
      <c r="F118" s="30">
        <v>67.099999999999994</v>
      </c>
      <c r="G118" s="30">
        <v>61.6</v>
      </c>
      <c r="H118" s="30">
        <v>2.5999999999999999E-2</v>
      </c>
      <c r="I118" s="30">
        <v>4.22</v>
      </c>
      <c r="J118" s="30">
        <v>6.74</v>
      </c>
      <c r="K118" s="30">
        <v>52.2</v>
      </c>
      <c r="L118" s="30">
        <v>37.5</v>
      </c>
      <c r="M118" s="30">
        <v>4.74</v>
      </c>
      <c r="N118" s="30">
        <v>52.3</v>
      </c>
      <c r="O118" s="30">
        <v>22.6</v>
      </c>
      <c r="P118" s="30">
        <v>15.7</v>
      </c>
      <c r="Q118" s="30">
        <v>31.7</v>
      </c>
      <c r="R118" s="30">
        <v>25</v>
      </c>
      <c r="S118" s="30">
        <v>24.4</v>
      </c>
      <c r="T118" s="30">
        <v>36</v>
      </c>
      <c r="U118" s="30">
        <v>14.6</v>
      </c>
      <c r="V118" s="30">
        <v>54.7</v>
      </c>
      <c r="W118" s="30">
        <v>9.2799999999999994</v>
      </c>
      <c r="X118" s="30">
        <v>27.9</v>
      </c>
      <c r="Y118" s="30">
        <v>14.3</v>
      </c>
      <c r="Z118" s="30">
        <v>33.4</v>
      </c>
      <c r="AA118" s="30">
        <v>24.5</v>
      </c>
      <c r="AB118" s="30">
        <v>14</v>
      </c>
      <c r="AC118" s="30">
        <v>2.35</v>
      </c>
      <c r="AD118" s="30">
        <v>17.399999999999999</v>
      </c>
      <c r="AE118" s="30">
        <v>34.5</v>
      </c>
      <c r="AF118" s="30">
        <v>43.2</v>
      </c>
      <c r="AG118" s="30">
        <v>17.600000000000001</v>
      </c>
      <c r="AH118" s="30">
        <v>4.83</v>
      </c>
      <c r="AI118" s="30">
        <v>22.6</v>
      </c>
      <c r="AJ118" s="30">
        <v>56.6</v>
      </c>
      <c r="AK118" s="30">
        <v>10.7</v>
      </c>
      <c r="AL118" s="30">
        <v>21.9</v>
      </c>
      <c r="AM118" s="30">
        <v>37.700000000000003</v>
      </c>
      <c r="AN118" s="30">
        <v>0.74</v>
      </c>
      <c r="AO118" s="30">
        <v>1.87</v>
      </c>
      <c r="AP118" s="30">
        <v>2.1</v>
      </c>
      <c r="AQ118" s="30">
        <v>3.05</v>
      </c>
      <c r="AR118" s="30">
        <v>60.8</v>
      </c>
      <c r="AS118" s="30">
        <v>36.6</v>
      </c>
      <c r="AT118" s="30">
        <v>2.5499999999999998</v>
      </c>
      <c r="AU118" s="30">
        <v>76.400000000000006</v>
      </c>
      <c r="AV118" s="30">
        <v>20.2</v>
      </c>
      <c r="AW118" s="30">
        <v>29.1</v>
      </c>
      <c r="AX118" s="30">
        <v>4.1900000000000004</v>
      </c>
      <c r="AY118" s="30">
        <v>63.2</v>
      </c>
      <c r="AZ118" s="30">
        <v>1.26</v>
      </c>
      <c r="BA118" s="30">
        <v>16.3</v>
      </c>
      <c r="BB118" s="30">
        <v>73.3</v>
      </c>
      <c r="BC118" s="30">
        <v>75.7</v>
      </c>
      <c r="BD118" s="30">
        <v>1.58</v>
      </c>
      <c r="BE118" s="30">
        <v>5.93</v>
      </c>
      <c r="BF118" s="30">
        <v>32.6</v>
      </c>
      <c r="BG118" s="30">
        <v>-66.599999999999994</v>
      </c>
      <c r="BH118" s="30">
        <v>165</v>
      </c>
      <c r="BI118" s="30">
        <v>185</v>
      </c>
      <c r="BJ118" s="30">
        <v>285</v>
      </c>
      <c r="BK118" s="30">
        <v>398</v>
      </c>
      <c r="BL118" s="30">
        <v>141</v>
      </c>
      <c r="BM118" s="30">
        <v>-9.2799999999999994</v>
      </c>
    </row>
    <row r="119" spans="1:65" x14ac:dyDescent="0.5">
      <c r="A119" s="44">
        <v>216</v>
      </c>
      <c r="B119" s="28">
        <v>16</v>
      </c>
      <c r="C119" s="28">
        <v>1.03</v>
      </c>
      <c r="D119" s="28">
        <v>1.37</v>
      </c>
      <c r="E119" s="28">
        <v>24.3</v>
      </c>
      <c r="F119" s="28">
        <v>73.3</v>
      </c>
      <c r="G119" s="28">
        <v>66.7</v>
      </c>
      <c r="H119" s="28">
        <v>2.5999999999999999E-2</v>
      </c>
      <c r="I119" s="28">
        <v>3.31</v>
      </c>
      <c r="J119" s="28">
        <v>6.83</v>
      </c>
      <c r="K119" s="28">
        <v>57.5</v>
      </c>
      <c r="L119" s="28">
        <v>26.3</v>
      </c>
      <c r="M119" s="28">
        <v>5.79</v>
      </c>
      <c r="N119" s="28">
        <v>54.3</v>
      </c>
      <c r="O119" s="28">
        <v>21.3</v>
      </c>
      <c r="P119" s="28">
        <v>17</v>
      </c>
      <c r="Q119" s="28">
        <v>31.4</v>
      </c>
      <c r="R119" s="28">
        <v>59.2</v>
      </c>
      <c r="S119" s="28">
        <v>4.8</v>
      </c>
      <c r="T119" s="28">
        <v>29.3</v>
      </c>
      <c r="U119" s="28">
        <v>6.72</v>
      </c>
      <c r="V119" s="28">
        <v>55.4</v>
      </c>
      <c r="W119" s="28">
        <v>6.58</v>
      </c>
      <c r="X119" s="28">
        <v>53.9</v>
      </c>
      <c r="Y119" s="28">
        <v>2.95</v>
      </c>
      <c r="Z119" s="28">
        <v>34.6</v>
      </c>
      <c r="AA119" s="28">
        <v>8.56</v>
      </c>
      <c r="AB119" s="28">
        <v>29.6</v>
      </c>
      <c r="AC119" s="28">
        <v>2.34</v>
      </c>
      <c r="AD119" s="28">
        <v>11.6</v>
      </c>
      <c r="AE119" s="28">
        <v>30.4</v>
      </c>
      <c r="AF119" s="28">
        <v>55.7</v>
      </c>
      <c r="AG119" s="28">
        <v>13.8</v>
      </c>
      <c r="AH119" s="28">
        <v>2.17</v>
      </c>
      <c r="AI119" s="28">
        <v>17.3</v>
      </c>
      <c r="AJ119" s="28">
        <v>65.599999999999994</v>
      </c>
      <c r="AK119" s="28">
        <v>6.15</v>
      </c>
      <c r="AL119" s="28">
        <v>18.8</v>
      </c>
      <c r="AM119" s="28">
        <v>19</v>
      </c>
      <c r="AN119" s="28">
        <v>0.9</v>
      </c>
      <c r="AO119" s="28">
        <v>0.59</v>
      </c>
      <c r="AP119" s="28">
        <v>11.7</v>
      </c>
      <c r="AQ119" s="28">
        <v>2.69</v>
      </c>
      <c r="AR119" s="28">
        <v>85.8</v>
      </c>
      <c r="AS119" s="28">
        <v>12.6</v>
      </c>
      <c r="AT119" s="28">
        <v>1.54</v>
      </c>
      <c r="AU119" s="28">
        <v>75.7</v>
      </c>
      <c r="AV119" s="28">
        <v>10.6</v>
      </c>
      <c r="AW119" s="28">
        <v>45.1</v>
      </c>
      <c r="AX119" s="28">
        <v>8</v>
      </c>
      <c r="AY119" s="28">
        <v>40.6</v>
      </c>
      <c r="AZ119" s="28">
        <v>1.75</v>
      </c>
      <c r="BA119" s="28">
        <v>9.84</v>
      </c>
      <c r="BB119" s="28">
        <v>70.2</v>
      </c>
      <c r="BC119" s="28">
        <v>90.5</v>
      </c>
      <c r="BD119" s="28">
        <v>0.67</v>
      </c>
      <c r="BE119" s="28">
        <v>2.66</v>
      </c>
      <c r="BF119" s="28">
        <v>33.4</v>
      </c>
      <c r="BG119" s="28">
        <v>20.8</v>
      </c>
      <c r="BH119" s="28">
        <v>540</v>
      </c>
      <c r="BI119" s="28">
        <v>575</v>
      </c>
      <c r="BJ119" s="28">
        <v>413</v>
      </c>
      <c r="BK119" s="28">
        <v>455</v>
      </c>
      <c r="BL119" s="28">
        <v>256</v>
      </c>
      <c r="BM119" s="28">
        <v>-11.3</v>
      </c>
    </row>
    <row r="120" spans="1:65" x14ac:dyDescent="0.5">
      <c r="A120" s="44">
        <v>217</v>
      </c>
      <c r="B120" s="30">
        <v>14</v>
      </c>
      <c r="C120" s="30">
        <v>9.3699999999999992</v>
      </c>
      <c r="D120" s="30">
        <v>0.7</v>
      </c>
      <c r="E120" s="30">
        <v>59.4</v>
      </c>
      <c r="F120" s="30">
        <v>30.4</v>
      </c>
      <c r="G120" s="30">
        <v>70.3</v>
      </c>
      <c r="H120" s="30">
        <v>0.19</v>
      </c>
      <c r="I120" s="30">
        <v>3.94</v>
      </c>
      <c r="J120" s="30">
        <v>18</v>
      </c>
      <c r="K120" s="30">
        <v>49.1</v>
      </c>
      <c r="L120" s="30">
        <v>28.8</v>
      </c>
      <c r="M120" s="30">
        <v>5.76</v>
      </c>
      <c r="N120" s="30">
        <v>42.8</v>
      </c>
      <c r="O120" s="30">
        <v>26.2</v>
      </c>
      <c r="P120" s="30">
        <v>21.7</v>
      </c>
      <c r="Q120" s="30">
        <v>44.3</v>
      </c>
      <c r="R120" s="30">
        <v>41.9</v>
      </c>
      <c r="S120" s="30">
        <v>13.7</v>
      </c>
      <c r="T120" s="30">
        <v>24.6</v>
      </c>
      <c r="U120" s="30">
        <v>19.899999999999999</v>
      </c>
      <c r="V120" s="30">
        <v>44.1</v>
      </c>
      <c r="W120" s="30">
        <v>6.27</v>
      </c>
      <c r="X120" s="30">
        <v>46.7</v>
      </c>
      <c r="Y120" s="30">
        <v>4.88</v>
      </c>
      <c r="Z120" s="30">
        <v>30.8</v>
      </c>
      <c r="AA120" s="30">
        <v>17.7</v>
      </c>
      <c r="AB120" s="30">
        <v>19.100000000000001</v>
      </c>
      <c r="AC120" s="30">
        <v>4.03</v>
      </c>
      <c r="AD120" s="30">
        <v>22</v>
      </c>
      <c r="AE120" s="30">
        <v>41.4</v>
      </c>
      <c r="AF120" s="30">
        <v>29.9</v>
      </c>
      <c r="AG120" s="30">
        <v>9.58</v>
      </c>
      <c r="AH120" s="30">
        <v>1.48</v>
      </c>
      <c r="AI120" s="30">
        <v>34.4</v>
      </c>
      <c r="AJ120" s="30">
        <v>51.9</v>
      </c>
      <c r="AK120" s="30">
        <v>7.64</v>
      </c>
      <c r="AL120" s="30">
        <v>8.49</v>
      </c>
      <c r="AM120" s="30">
        <v>7.61</v>
      </c>
      <c r="AN120" s="30">
        <v>0.54</v>
      </c>
      <c r="AO120" s="30">
        <v>1.1499999999999999</v>
      </c>
      <c r="AP120" s="30">
        <v>1.29</v>
      </c>
      <c r="AQ120" s="30">
        <v>2.58</v>
      </c>
      <c r="AR120" s="30">
        <v>63</v>
      </c>
      <c r="AS120" s="30">
        <v>34.9</v>
      </c>
      <c r="AT120" s="30">
        <v>2.0099999999999998</v>
      </c>
      <c r="AU120" s="30">
        <v>74.900000000000006</v>
      </c>
      <c r="AV120" s="30">
        <v>22</v>
      </c>
      <c r="AW120" s="30">
        <v>74.599999999999994</v>
      </c>
      <c r="AX120" s="30">
        <v>4.1399999999999997</v>
      </c>
      <c r="AY120" s="30">
        <v>17.5</v>
      </c>
      <c r="AZ120" s="30">
        <v>1.6</v>
      </c>
      <c r="BA120" s="30">
        <v>13.1</v>
      </c>
      <c r="BB120" s="30">
        <v>61</v>
      </c>
      <c r="BC120" s="30">
        <v>73</v>
      </c>
      <c r="BD120" s="30">
        <v>1.48</v>
      </c>
      <c r="BE120" s="30">
        <v>4.24</v>
      </c>
      <c r="BF120" s="30">
        <v>7.44</v>
      </c>
      <c r="BG120" s="30">
        <v>-63.4</v>
      </c>
      <c r="BH120" s="30">
        <v>199</v>
      </c>
      <c r="BI120" s="30">
        <v>249</v>
      </c>
      <c r="BJ120" s="30">
        <v>320</v>
      </c>
      <c r="BK120" s="30">
        <v>810</v>
      </c>
      <c r="BL120" s="30">
        <v>236</v>
      </c>
      <c r="BM120" s="30">
        <v>-7.07</v>
      </c>
    </row>
    <row r="121" spans="1:65" x14ac:dyDescent="0.5">
      <c r="A121" s="44">
        <v>218</v>
      </c>
      <c r="B121" s="28">
        <v>4.38</v>
      </c>
      <c r="C121" s="28">
        <v>13.7</v>
      </c>
      <c r="D121" s="28">
        <v>0.18</v>
      </c>
      <c r="E121" s="28">
        <v>56.7</v>
      </c>
      <c r="F121" s="28">
        <v>29.4</v>
      </c>
      <c r="G121" s="28">
        <v>73.5</v>
      </c>
      <c r="H121" s="28">
        <v>0.05</v>
      </c>
      <c r="I121" s="28">
        <v>2.73</v>
      </c>
      <c r="J121" s="28">
        <v>5.26</v>
      </c>
      <c r="K121" s="28">
        <v>66.099999999999994</v>
      </c>
      <c r="L121" s="28">
        <v>46.5</v>
      </c>
      <c r="M121" s="28">
        <v>5.43</v>
      </c>
      <c r="N121" s="28">
        <v>60.8</v>
      </c>
      <c r="O121" s="28">
        <v>24.6</v>
      </c>
      <c r="P121" s="28">
        <v>8.34</v>
      </c>
      <c r="Q121" s="28">
        <v>26.6</v>
      </c>
      <c r="R121" s="28">
        <v>25.8</v>
      </c>
      <c r="S121" s="28">
        <v>23.9</v>
      </c>
      <c r="T121" s="28">
        <v>32.799999999999997</v>
      </c>
      <c r="U121" s="28">
        <v>17.5</v>
      </c>
      <c r="V121" s="28">
        <v>61</v>
      </c>
      <c r="W121" s="28">
        <v>6.07</v>
      </c>
      <c r="X121" s="28">
        <v>25.3</v>
      </c>
      <c r="Y121" s="28">
        <v>11.9</v>
      </c>
      <c r="Z121" s="28">
        <v>40.5</v>
      </c>
      <c r="AA121" s="28">
        <v>22.4</v>
      </c>
      <c r="AB121" s="28">
        <v>18.5</v>
      </c>
      <c r="AC121" s="28">
        <v>3.83</v>
      </c>
      <c r="AD121" s="28">
        <v>6.23</v>
      </c>
      <c r="AE121" s="28">
        <v>12.5</v>
      </c>
      <c r="AF121" s="28">
        <v>77.5</v>
      </c>
      <c r="AG121" s="28">
        <v>19.399999999999999</v>
      </c>
      <c r="AH121" s="28">
        <v>4.38</v>
      </c>
      <c r="AI121" s="28">
        <v>14.4</v>
      </c>
      <c r="AJ121" s="28">
        <v>77.2</v>
      </c>
      <c r="AK121" s="28">
        <v>2.77</v>
      </c>
      <c r="AL121" s="28">
        <v>6.91</v>
      </c>
      <c r="AM121" s="28">
        <v>23.1</v>
      </c>
      <c r="AN121" s="28">
        <v>0.4</v>
      </c>
      <c r="AO121" s="28">
        <v>1.79</v>
      </c>
      <c r="AP121" s="28">
        <v>5.61</v>
      </c>
      <c r="AQ121" s="28">
        <v>4.12</v>
      </c>
      <c r="AR121" s="28">
        <v>84</v>
      </c>
      <c r="AS121" s="28">
        <v>13.9</v>
      </c>
      <c r="AT121" s="28">
        <v>2</v>
      </c>
      <c r="AU121" s="28">
        <v>82.5</v>
      </c>
      <c r="AV121" s="28">
        <v>8.7100000000000009</v>
      </c>
      <c r="AW121" s="28">
        <v>61.8</v>
      </c>
      <c r="AX121" s="28">
        <v>4.99</v>
      </c>
      <c r="AY121" s="28">
        <v>29.9</v>
      </c>
      <c r="AZ121" s="28">
        <v>0.4</v>
      </c>
      <c r="BA121" s="28">
        <v>6.92</v>
      </c>
      <c r="BB121" s="28">
        <v>59.2</v>
      </c>
      <c r="BC121" s="28">
        <v>81.2</v>
      </c>
      <c r="BD121" s="28">
        <v>0.25</v>
      </c>
      <c r="BE121" s="28">
        <v>2.8</v>
      </c>
      <c r="BF121" s="28">
        <v>5.76</v>
      </c>
      <c r="BG121" s="28">
        <v>-47.8</v>
      </c>
      <c r="BH121" s="28">
        <v>304</v>
      </c>
      <c r="BI121" s="28">
        <v>519</v>
      </c>
      <c r="BJ121" s="28">
        <v>296</v>
      </c>
      <c r="BK121" s="28">
        <v>727</v>
      </c>
      <c r="BL121" s="28">
        <v>165</v>
      </c>
      <c r="BM121" s="28">
        <v>-92.4</v>
      </c>
    </row>
    <row r="122" spans="1:65" x14ac:dyDescent="0.5">
      <c r="A122" s="44">
        <v>219</v>
      </c>
      <c r="B122" s="28">
        <v>15.3</v>
      </c>
      <c r="C122" s="28">
        <v>7.66</v>
      </c>
      <c r="D122" s="28">
        <v>0.1</v>
      </c>
      <c r="E122" s="28">
        <v>54</v>
      </c>
      <c r="F122" s="28">
        <v>38.200000000000003</v>
      </c>
      <c r="G122" s="28">
        <v>54.6</v>
      </c>
      <c r="H122" s="28">
        <v>0.14000000000000001</v>
      </c>
      <c r="I122" s="28">
        <v>10.199999999999999</v>
      </c>
      <c r="J122" s="28">
        <v>4.22</v>
      </c>
      <c r="K122" s="28">
        <v>44.4</v>
      </c>
      <c r="L122" s="28">
        <v>27</v>
      </c>
      <c r="M122" s="28">
        <v>8.14</v>
      </c>
      <c r="N122" s="28">
        <v>21.6</v>
      </c>
      <c r="O122" s="28">
        <v>40.700000000000003</v>
      </c>
      <c r="P122" s="28">
        <v>27.9</v>
      </c>
      <c r="Q122" s="28">
        <v>54.3</v>
      </c>
      <c r="R122" s="28">
        <v>74.8</v>
      </c>
      <c r="S122" s="28">
        <v>0.92</v>
      </c>
      <c r="T122" s="28">
        <v>20.5</v>
      </c>
      <c r="U122" s="28">
        <v>3.83</v>
      </c>
      <c r="V122" s="28">
        <v>18.899999999999999</v>
      </c>
      <c r="W122" s="28">
        <v>13.4</v>
      </c>
      <c r="X122" s="28">
        <v>71.900000000000006</v>
      </c>
      <c r="Y122" s="28">
        <v>0.28000000000000003</v>
      </c>
      <c r="Z122" s="28">
        <v>26.7</v>
      </c>
      <c r="AA122" s="28">
        <v>1.1599999999999999</v>
      </c>
      <c r="AB122" s="28">
        <v>16</v>
      </c>
      <c r="AC122" s="28">
        <v>5.17</v>
      </c>
      <c r="AD122" s="28">
        <v>34.200000000000003</v>
      </c>
      <c r="AE122" s="28">
        <v>51.5</v>
      </c>
      <c r="AF122" s="28">
        <v>9.1199999999999992</v>
      </c>
      <c r="AG122" s="28">
        <v>19.600000000000001</v>
      </c>
      <c r="AH122" s="28">
        <v>2.72</v>
      </c>
      <c r="AI122" s="28">
        <v>14</v>
      </c>
      <c r="AJ122" s="28">
        <v>67.599999999999994</v>
      </c>
      <c r="AK122" s="28">
        <v>10.6</v>
      </c>
      <c r="AL122" s="28">
        <v>9.99</v>
      </c>
      <c r="AM122" s="28">
        <v>16.2</v>
      </c>
      <c r="AN122" s="28">
        <v>0.8</v>
      </c>
      <c r="AO122" s="28">
        <v>1.67</v>
      </c>
      <c r="AP122" s="28">
        <v>5.89</v>
      </c>
      <c r="AQ122" s="28">
        <v>5.86</v>
      </c>
      <c r="AR122" s="28">
        <v>80.8</v>
      </c>
      <c r="AS122" s="28">
        <v>17.8</v>
      </c>
      <c r="AT122" s="28">
        <v>1.32</v>
      </c>
      <c r="AU122" s="28">
        <v>72.5</v>
      </c>
      <c r="AV122" s="28">
        <v>20.5</v>
      </c>
      <c r="AW122" s="28">
        <v>55</v>
      </c>
      <c r="AX122" s="28">
        <v>7.43</v>
      </c>
      <c r="AY122" s="28">
        <v>27.1</v>
      </c>
      <c r="AZ122" s="28">
        <v>6.55</v>
      </c>
      <c r="BA122" s="28">
        <v>8.9</v>
      </c>
      <c r="BB122" s="28">
        <v>37.1</v>
      </c>
      <c r="BC122" s="28">
        <v>51.5</v>
      </c>
      <c r="BD122" s="28">
        <v>0.85</v>
      </c>
      <c r="BE122" s="28">
        <v>2.34</v>
      </c>
      <c r="BF122" s="28">
        <v>6.31</v>
      </c>
      <c r="BG122" s="28">
        <v>179</v>
      </c>
      <c r="BH122" s="28">
        <v>558</v>
      </c>
      <c r="BI122" s="28">
        <v>681</v>
      </c>
      <c r="BJ122" s="28">
        <v>575</v>
      </c>
      <c r="BK122" s="28">
        <v>776</v>
      </c>
      <c r="BL122" s="28">
        <v>510</v>
      </c>
      <c r="BM122" s="28">
        <v>326</v>
      </c>
    </row>
    <row r="123" spans="1:65" x14ac:dyDescent="0.5">
      <c r="A123" s="44">
        <v>220</v>
      </c>
      <c r="B123" s="30">
        <v>8.6300000000000008</v>
      </c>
      <c r="C123" s="30">
        <v>4.8499999999999996</v>
      </c>
      <c r="D123" s="30">
        <v>0.43</v>
      </c>
      <c r="E123" s="30">
        <v>30.2</v>
      </c>
      <c r="F123" s="30">
        <v>61.5</v>
      </c>
      <c r="G123" s="30">
        <v>73.900000000000006</v>
      </c>
      <c r="H123" s="36">
        <v>8.1799999999999998E-3</v>
      </c>
      <c r="I123" s="30">
        <v>4.34</v>
      </c>
      <c r="J123" s="30">
        <v>2.17</v>
      </c>
      <c r="K123" s="30">
        <v>68.2</v>
      </c>
      <c r="L123" s="30">
        <v>40.6</v>
      </c>
      <c r="M123" s="30">
        <v>7.69</v>
      </c>
      <c r="N123" s="30">
        <v>58.3</v>
      </c>
      <c r="O123" s="30">
        <v>21.6</v>
      </c>
      <c r="P123" s="30">
        <v>6.11</v>
      </c>
      <c r="Q123" s="30">
        <v>22.4</v>
      </c>
      <c r="R123" s="30">
        <v>54.1</v>
      </c>
      <c r="S123" s="30">
        <v>10.7</v>
      </c>
      <c r="T123" s="30">
        <v>21.8</v>
      </c>
      <c r="U123" s="30">
        <v>13.3</v>
      </c>
      <c r="V123" s="30">
        <v>59.7</v>
      </c>
      <c r="W123" s="30">
        <v>10.1</v>
      </c>
      <c r="X123" s="30">
        <v>37.1</v>
      </c>
      <c r="Y123" s="30">
        <v>9.52</v>
      </c>
      <c r="Z123" s="30">
        <v>28.3</v>
      </c>
      <c r="AA123" s="30">
        <v>25.1</v>
      </c>
      <c r="AB123" s="30">
        <v>27</v>
      </c>
      <c r="AC123" s="30">
        <v>4.0599999999999996</v>
      </c>
      <c r="AD123" s="30">
        <v>4.6399999999999997</v>
      </c>
      <c r="AE123" s="30">
        <v>23</v>
      </c>
      <c r="AF123" s="30">
        <v>67</v>
      </c>
      <c r="AG123" s="30">
        <v>15.5</v>
      </c>
      <c r="AH123" s="30">
        <v>3.42</v>
      </c>
      <c r="AI123" s="30">
        <v>12</v>
      </c>
      <c r="AJ123" s="30">
        <v>65.7</v>
      </c>
      <c r="AK123" s="30">
        <v>12</v>
      </c>
      <c r="AL123" s="30">
        <v>11.1</v>
      </c>
      <c r="AM123" s="30">
        <v>16</v>
      </c>
      <c r="AN123" s="30">
        <v>0.53</v>
      </c>
      <c r="AO123" s="30">
        <v>0.95</v>
      </c>
      <c r="AP123" s="30">
        <v>1.65</v>
      </c>
      <c r="AQ123" s="30">
        <v>10.4</v>
      </c>
      <c r="AR123" s="30">
        <v>47</v>
      </c>
      <c r="AS123" s="30">
        <v>51.4</v>
      </c>
      <c r="AT123" s="30">
        <v>1.5</v>
      </c>
      <c r="AU123" s="30">
        <v>59.1</v>
      </c>
      <c r="AV123" s="30">
        <v>30</v>
      </c>
      <c r="AW123" s="30">
        <v>54.9</v>
      </c>
      <c r="AX123" s="30">
        <v>3.66</v>
      </c>
      <c r="AY123" s="30">
        <v>31</v>
      </c>
      <c r="AZ123" s="30">
        <v>0.21</v>
      </c>
      <c r="BA123" s="30">
        <v>5.67</v>
      </c>
      <c r="BB123" s="30">
        <v>52.7</v>
      </c>
      <c r="BC123" s="30">
        <v>89</v>
      </c>
      <c r="BD123" s="30">
        <v>0.3</v>
      </c>
      <c r="BE123" s="30">
        <v>2.67</v>
      </c>
      <c r="BF123" s="30">
        <v>35.1</v>
      </c>
      <c r="BG123" s="30">
        <v>-6.96</v>
      </c>
      <c r="BH123" s="30">
        <v>294</v>
      </c>
      <c r="BI123" s="30">
        <v>354</v>
      </c>
      <c r="BJ123" s="30">
        <v>307</v>
      </c>
      <c r="BK123" s="30">
        <v>426</v>
      </c>
      <c r="BL123" s="30">
        <v>107</v>
      </c>
      <c r="BM123" s="30">
        <v>-12.9</v>
      </c>
    </row>
    <row r="124" spans="1:65" x14ac:dyDescent="0.5">
      <c r="A124" s="44">
        <v>221</v>
      </c>
      <c r="B124" s="41">
        <v>9.35</v>
      </c>
      <c r="C124" s="41">
        <v>3.63</v>
      </c>
      <c r="D124" s="41">
        <v>7.0999999999999994E-2</v>
      </c>
      <c r="E124" s="41">
        <v>51.3</v>
      </c>
      <c r="F124" s="41">
        <v>45</v>
      </c>
      <c r="G124" s="41">
        <v>74.5</v>
      </c>
      <c r="H124" s="41">
        <v>0.32</v>
      </c>
      <c r="I124" s="41">
        <v>3.43</v>
      </c>
      <c r="J124" s="41">
        <v>1.91</v>
      </c>
      <c r="K124" s="41">
        <v>69.5</v>
      </c>
      <c r="L124" s="41">
        <v>47.6</v>
      </c>
      <c r="M124" s="41">
        <v>5.93</v>
      </c>
      <c r="N124" s="41">
        <v>57.9</v>
      </c>
      <c r="O124" s="41">
        <v>22.3</v>
      </c>
      <c r="P124" s="41">
        <v>11.1</v>
      </c>
      <c r="Q124" s="41">
        <v>30.6</v>
      </c>
      <c r="R124" s="41">
        <v>51.5</v>
      </c>
      <c r="S124" s="41">
        <v>8.52</v>
      </c>
      <c r="T124" s="41">
        <v>27.1</v>
      </c>
      <c r="U124" s="41">
        <v>12.9</v>
      </c>
      <c r="V124" s="41">
        <v>44</v>
      </c>
      <c r="W124" s="41">
        <v>3.51</v>
      </c>
      <c r="X124" s="41">
        <v>34.799999999999997</v>
      </c>
      <c r="Y124" s="41">
        <v>6.43</v>
      </c>
      <c r="Z124" s="41">
        <v>42.5</v>
      </c>
      <c r="AA124" s="41">
        <v>16.3</v>
      </c>
      <c r="AB124" s="41">
        <v>15.4</v>
      </c>
      <c r="AC124" s="41">
        <v>4.2</v>
      </c>
      <c r="AD124" s="41">
        <v>29.3</v>
      </c>
      <c r="AE124" s="41">
        <v>29.8</v>
      </c>
      <c r="AF124" s="41">
        <v>36.700000000000003</v>
      </c>
      <c r="AG124" s="41">
        <v>14</v>
      </c>
      <c r="AH124" s="41">
        <v>3.79</v>
      </c>
      <c r="AI124" s="41">
        <v>57.2</v>
      </c>
      <c r="AJ124" s="41">
        <v>26.3</v>
      </c>
      <c r="AK124" s="41">
        <v>8.5500000000000007</v>
      </c>
      <c r="AL124" s="41">
        <v>4.6399999999999997</v>
      </c>
      <c r="AM124" s="41">
        <v>13.2</v>
      </c>
      <c r="AN124" s="41">
        <v>0.86</v>
      </c>
      <c r="AO124" s="41">
        <v>2.81</v>
      </c>
      <c r="AP124" s="41">
        <v>1.03</v>
      </c>
      <c r="AQ124" s="41">
        <v>3.79</v>
      </c>
      <c r="AR124" s="41">
        <v>59.8</v>
      </c>
      <c r="AS124" s="41">
        <v>36.5</v>
      </c>
      <c r="AT124" s="41">
        <v>3.52</v>
      </c>
      <c r="AU124" s="41">
        <v>69.8</v>
      </c>
      <c r="AV124" s="41">
        <v>25.7</v>
      </c>
      <c r="AW124" s="41">
        <v>58.2</v>
      </c>
      <c r="AX124" s="41">
        <v>2.2999999999999998</v>
      </c>
      <c r="AY124" s="41">
        <v>20.5</v>
      </c>
      <c r="AZ124" s="41">
        <v>0.37</v>
      </c>
      <c r="BA124" s="41">
        <v>3.4</v>
      </c>
      <c r="BB124" s="41">
        <v>67.900000000000006</v>
      </c>
      <c r="BC124" s="41">
        <v>84.4</v>
      </c>
      <c r="BD124" s="41">
        <v>0.25</v>
      </c>
      <c r="BE124" s="41">
        <v>2.17</v>
      </c>
      <c r="BF124" s="41">
        <v>13.8</v>
      </c>
      <c r="BG124" s="41">
        <v>-51.1</v>
      </c>
      <c r="BH124" s="41">
        <v>231</v>
      </c>
      <c r="BI124" s="41">
        <v>389</v>
      </c>
      <c r="BJ124" s="41">
        <v>274</v>
      </c>
      <c r="BK124" s="41">
        <v>228</v>
      </c>
      <c r="BL124" s="41">
        <v>129</v>
      </c>
      <c r="BM124" s="41">
        <v>-6.9</v>
      </c>
    </row>
    <row r="125" spans="1:65" x14ac:dyDescent="0.5">
      <c r="A125" s="44">
        <v>222</v>
      </c>
      <c r="B125" s="28">
        <v>10.9</v>
      </c>
      <c r="C125" s="28">
        <v>9.26</v>
      </c>
      <c r="D125" s="28">
        <v>0.42</v>
      </c>
      <c r="E125" s="28">
        <v>69.3</v>
      </c>
      <c r="F125" s="28">
        <v>21</v>
      </c>
      <c r="G125" s="28">
        <v>83</v>
      </c>
      <c r="H125" s="28">
        <v>0.14000000000000001</v>
      </c>
      <c r="I125" s="28">
        <v>7.29</v>
      </c>
      <c r="J125" s="28">
        <v>2.0099999999999998</v>
      </c>
      <c r="K125" s="28">
        <v>74.7</v>
      </c>
      <c r="L125" s="28">
        <v>54.6</v>
      </c>
      <c r="M125" s="28">
        <v>6.93</v>
      </c>
      <c r="N125" s="28">
        <v>45.2</v>
      </c>
      <c r="O125" s="28">
        <v>30.5</v>
      </c>
      <c r="P125" s="28">
        <v>15.2</v>
      </c>
      <c r="Q125" s="28">
        <v>35.700000000000003</v>
      </c>
      <c r="R125" s="28">
        <v>23.4</v>
      </c>
      <c r="S125" s="28">
        <v>17.399999999999999</v>
      </c>
      <c r="T125" s="28">
        <v>52</v>
      </c>
      <c r="U125" s="28">
        <v>7.13</v>
      </c>
      <c r="V125" s="28">
        <v>46.4</v>
      </c>
      <c r="W125" s="28">
        <v>10.5</v>
      </c>
      <c r="X125" s="28">
        <v>29</v>
      </c>
      <c r="Y125" s="28">
        <v>7.73</v>
      </c>
      <c r="Z125" s="28">
        <v>43.6</v>
      </c>
      <c r="AA125" s="28">
        <v>19.7</v>
      </c>
      <c r="AB125" s="28">
        <v>18.5</v>
      </c>
      <c r="AC125" s="28">
        <v>9.82</v>
      </c>
      <c r="AD125" s="28">
        <v>16.2</v>
      </c>
      <c r="AE125" s="28">
        <v>12.7</v>
      </c>
      <c r="AF125" s="28">
        <v>61.1</v>
      </c>
      <c r="AG125" s="28">
        <v>7.11</v>
      </c>
      <c r="AH125" s="28">
        <v>10.5</v>
      </c>
      <c r="AI125" s="28">
        <v>17.100000000000001</v>
      </c>
      <c r="AJ125" s="28">
        <v>57.1</v>
      </c>
      <c r="AK125" s="28">
        <v>10.4</v>
      </c>
      <c r="AL125" s="28">
        <v>15.7</v>
      </c>
      <c r="AM125" s="28">
        <v>14.4</v>
      </c>
      <c r="AN125" s="28">
        <v>0.72</v>
      </c>
      <c r="AO125" s="28">
        <v>1.3</v>
      </c>
      <c r="AP125" s="28">
        <v>1.38</v>
      </c>
      <c r="AQ125" s="28">
        <v>9.1300000000000008</v>
      </c>
      <c r="AR125" s="28">
        <v>92.6</v>
      </c>
      <c r="AS125" s="28">
        <v>5.48</v>
      </c>
      <c r="AT125" s="28">
        <v>1.6</v>
      </c>
      <c r="AU125" s="28">
        <v>87.3</v>
      </c>
      <c r="AV125" s="28">
        <v>2.62</v>
      </c>
      <c r="AW125" s="28">
        <v>43</v>
      </c>
      <c r="AX125" s="28">
        <v>16.8</v>
      </c>
      <c r="AY125" s="28">
        <v>36.6</v>
      </c>
      <c r="AZ125" s="28">
        <v>1.52</v>
      </c>
      <c r="BA125" s="28">
        <v>13.3</v>
      </c>
      <c r="BB125" s="28">
        <v>42</v>
      </c>
      <c r="BC125" s="28">
        <v>49.6</v>
      </c>
      <c r="BD125" s="28">
        <v>0.6</v>
      </c>
      <c r="BE125" s="28">
        <v>2.3199999999999998</v>
      </c>
      <c r="BF125" s="28">
        <v>5.76</v>
      </c>
      <c r="BG125" s="28">
        <v>28.2</v>
      </c>
      <c r="BH125" s="28">
        <v>386</v>
      </c>
      <c r="BI125" s="28">
        <v>504</v>
      </c>
      <c r="BJ125" s="28">
        <v>376</v>
      </c>
      <c r="BK125" s="28">
        <v>583</v>
      </c>
      <c r="BL125" s="28">
        <v>379</v>
      </c>
      <c r="BM125" s="28">
        <v>9.5500000000000007</v>
      </c>
    </row>
    <row r="126" spans="1:65" x14ac:dyDescent="0.5">
      <c r="A126" s="44">
        <v>223</v>
      </c>
      <c r="B126" s="28">
        <v>12</v>
      </c>
      <c r="C126" s="28">
        <v>9.4700000000000006</v>
      </c>
      <c r="D126" s="28">
        <v>0.09</v>
      </c>
      <c r="E126" s="28">
        <v>39.700000000000003</v>
      </c>
      <c r="F126" s="28">
        <v>50.7</v>
      </c>
      <c r="G126" s="28">
        <v>77.5</v>
      </c>
      <c r="H126" s="28">
        <v>0.22</v>
      </c>
      <c r="I126" s="28">
        <v>1.18</v>
      </c>
      <c r="J126" s="28">
        <v>3.03</v>
      </c>
      <c r="K126" s="28">
        <v>73.3</v>
      </c>
      <c r="L126" s="28">
        <v>41.3</v>
      </c>
      <c r="M126" s="28">
        <v>5.68</v>
      </c>
      <c r="N126" s="28">
        <v>35.6</v>
      </c>
      <c r="O126" s="28">
        <v>34.299999999999997</v>
      </c>
      <c r="P126" s="28">
        <v>24.9</v>
      </c>
      <c r="Q126" s="28">
        <v>54.5</v>
      </c>
      <c r="R126" s="28">
        <v>46.3</v>
      </c>
      <c r="S126" s="28">
        <v>13.4</v>
      </c>
      <c r="T126" s="28">
        <v>20.2</v>
      </c>
      <c r="U126" s="28">
        <v>20</v>
      </c>
      <c r="V126" s="28">
        <v>34.200000000000003</v>
      </c>
      <c r="W126" s="28">
        <v>4.0199999999999996</v>
      </c>
      <c r="X126" s="28">
        <v>52.6</v>
      </c>
      <c r="Y126" s="28">
        <v>3.72</v>
      </c>
      <c r="Z126" s="28">
        <v>29.7</v>
      </c>
      <c r="AA126" s="28">
        <v>14</v>
      </c>
      <c r="AB126" s="28">
        <v>30.4</v>
      </c>
      <c r="AC126" s="28">
        <v>3.8</v>
      </c>
      <c r="AD126" s="28">
        <v>20</v>
      </c>
      <c r="AE126" s="28">
        <v>42.8</v>
      </c>
      <c r="AF126" s="28">
        <v>33.4</v>
      </c>
      <c r="AG126" s="28">
        <v>6.43</v>
      </c>
      <c r="AH126" s="28">
        <v>2.0299999999999998</v>
      </c>
      <c r="AI126" s="28">
        <v>38.799999999999997</v>
      </c>
      <c r="AJ126" s="28">
        <v>49.7</v>
      </c>
      <c r="AK126" s="28">
        <v>2.42</v>
      </c>
      <c r="AL126" s="28">
        <v>5.73</v>
      </c>
      <c r="AM126" s="28">
        <v>11.4</v>
      </c>
      <c r="AN126" s="28">
        <v>0.8</v>
      </c>
      <c r="AO126" s="28">
        <v>0.52</v>
      </c>
      <c r="AP126" s="28">
        <v>26.3</v>
      </c>
      <c r="AQ126" s="28">
        <v>5.76</v>
      </c>
      <c r="AR126" s="28">
        <v>80.900000000000006</v>
      </c>
      <c r="AS126" s="28">
        <v>17.3</v>
      </c>
      <c r="AT126" s="28">
        <v>1.53</v>
      </c>
      <c r="AU126" s="28">
        <v>59.5</v>
      </c>
      <c r="AV126" s="28">
        <v>8.8800000000000008</v>
      </c>
      <c r="AW126" s="28">
        <v>62.6</v>
      </c>
      <c r="AX126" s="28">
        <v>11.7</v>
      </c>
      <c r="AY126" s="28">
        <v>19.399999999999999</v>
      </c>
      <c r="AZ126" s="28">
        <v>1.22</v>
      </c>
      <c r="BA126" s="28">
        <v>4.28</v>
      </c>
      <c r="BB126" s="28">
        <v>62.9</v>
      </c>
      <c r="BC126" s="28">
        <v>79.2</v>
      </c>
      <c r="BD126" s="28">
        <v>0.25</v>
      </c>
      <c r="BE126" s="28">
        <v>2.19</v>
      </c>
      <c r="BF126" s="28">
        <v>6.58</v>
      </c>
      <c r="BG126" s="28">
        <v>34</v>
      </c>
      <c r="BH126" s="28">
        <v>281</v>
      </c>
      <c r="BI126" s="28">
        <v>369</v>
      </c>
      <c r="BJ126" s="28">
        <v>216</v>
      </c>
      <c r="BK126" s="28">
        <v>384</v>
      </c>
      <c r="BL126" s="28">
        <v>136</v>
      </c>
      <c r="BM126" s="28">
        <v>-8.85</v>
      </c>
    </row>
    <row r="127" spans="1:65" x14ac:dyDescent="0.5">
      <c r="A127" s="44">
        <v>224</v>
      </c>
      <c r="B127" s="28">
        <v>10.7</v>
      </c>
      <c r="C127" s="28">
        <v>13.3</v>
      </c>
      <c r="D127" s="28">
        <v>3.4000000000000002E-2</v>
      </c>
      <c r="E127" s="28">
        <v>47.7</v>
      </c>
      <c r="F127" s="28">
        <v>39</v>
      </c>
      <c r="G127" s="28">
        <v>74</v>
      </c>
      <c r="H127" s="28">
        <v>7.0000000000000007E-2</v>
      </c>
      <c r="I127" s="28">
        <v>1.48</v>
      </c>
      <c r="J127" s="28">
        <v>3.16</v>
      </c>
      <c r="K127" s="28">
        <v>69.599999999999994</v>
      </c>
      <c r="L127" s="28">
        <v>56.4</v>
      </c>
      <c r="M127" s="28">
        <v>8.48</v>
      </c>
      <c r="N127" s="28">
        <v>45.2</v>
      </c>
      <c r="O127" s="28">
        <v>36</v>
      </c>
      <c r="P127" s="28">
        <v>8.24</v>
      </c>
      <c r="Q127" s="28">
        <v>37.799999999999997</v>
      </c>
      <c r="R127" s="28">
        <v>46</v>
      </c>
      <c r="S127" s="28">
        <v>9.2100000000000009</v>
      </c>
      <c r="T127" s="28">
        <v>31.2</v>
      </c>
      <c r="U127" s="28">
        <v>13.6</v>
      </c>
      <c r="V127" s="28">
        <v>47</v>
      </c>
      <c r="W127" s="28">
        <v>7.57</v>
      </c>
      <c r="X127" s="28">
        <v>40.5</v>
      </c>
      <c r="Y127" s="28">
        <v>2.33</v>
      </c>
      <c r="Z127" s="28">
        <v>51.1</v>
      </c>
      <c r="AA127" s="28">
        <v>6.14</v>
      </c>
      <c r="AB127" s="28">
        <v>12.4</v>
      </c>
      <c r="AC127" s="28">
        <v>8.16</v>
      </c>
      <c r="AD127" s="28">
        <v>24.6</v>
      </c>
      <c r="AE127" s="28">
        <v>13.9</v>
      </c>
      <c r="AF127" s="28">
        <v>53.2</v>
      </c>
      <c r="AG127" s="28">
        <v>11.5</v>
      </c>
      <c r="AH127" s="28">
        <v>5.75</v>
      </c>
      <c r="AI127" s="28">
        <v>29.2</v>
      </c>
      <c r="AJ127" s="28">
        <v>60.4</v>
      </c>
      <c r="AK127" s="28">
        <v>3.54</v>
      </c>
      <c r="AL127" s="28">
        <v>9.49</v>
      </c>
      <c r="AM127" s="28">
        <v>15.4</v>
      </c>
      <c r="AN127" s="28">
        <v>0.56000000000000005</v>
      </c>
      <c r="AO127" s="28">
        <v>1.0900000000000001</v>
      </c>
      <c r="AP127" s="28">
        <v>1.47</v>
      </c>
      <c r="AQ127" s="28">
        <v>2</v>
      </c>
      <c r="AR127" s="28">
        <v>63.6</v>
      </c>
      <c r="AS127" s="28">
        <v>35</v>
      </c>
      <c r="AT127" s="28">
        <v>1.37</v>
      </c>
      <c r="AU127" s="28">
        <v>85.9</v>
      </c>
      <c r="AV127" s="28">
        <v>10.9</v>
      </c>
      <c r="AW127" s="28">
        <v>59.9</v>
      </c>
      <c r="AX127" s="28">
        <v>2.69</v>
      </c>
      <c r="AY127" s="28">
        <v>26.2</v>
      </c>
      <c r="AZ127" s="28">
        <v>0.25</v>
      </c>
      <c r="BA127" s="28">
        <v>3.3</v>
      </c>
      <c r="BB127" s="28">
        <v>35.299999999999997</v>
      </c>
      <c r="BC127" s="28">
        <v>46.6</v>
      </c>
      <c r="BD127" s="28">
        <v>0.2</v>
      </c>
      <c r="BE127" s="28">
        <v>2.1</v>
      </c>
      <c r="BF127" s="28">
        <v>4.07</v>
      </c>
      <c r="BG127" s="28">
        <v>-51.4</v>
      </c>
      <c r="BH127" s="28">
        <v>80.7</v>
      </c>
      <c r="BI127" s="28">
        <v>220</v>
      </c>
      <c r="BJ127" s="28">
        <v>207</v>
      </c>
      <c r="BK127" s="28">
        <v>628</v>
      </c>
      <c r="BL127" s="28">
        <v>229</v>
      </c>
      <c r="BM127" s="28">
        <v>-13.9</v>
      </c>
    </row>
    <row r="128" spans="1:65" x14ac:dyDescent="0.5">
      <c r="A128" s="44">
        <v>225</v>
      </c>
      <c r="B128" s="28">
        <v>15.7</v>
      </c>
      <c r="C128" s="28">
        <v>3.41</v>
      </c>
      <c r="D128" s="28">
        <v>0.01</v>
      </c>
      <c r="E128" s="28">
        <v>56.3</v>
      </c>
      <c r="F128" s="28">
        <v>40.299999999999997</v>
      </c>
      <c r="G128" s="28">
        <v>73.900000000000006</v>
      </c>
      <c r="H128" s="28">
        <v>2.8000000000000001E-2</v>
      </c>
      <c r="I128" s="28">
        <v>11.4</v>
      </c>
      <c r="J128" s="28">
        <v>1.18</v>
      </c>
      <c r="K128" s="28">
        <v>64.2</v>
      </c>
      <c r="L128" s="28">
        <v>42.6</v>
      </c>
      <c r="M128" s="28">
        <v>5.61</v>
      </c>
      <c r="N128" s="28">
        <v>47.3</v>
      </c>
      <c r="O128" s="28">
        <v>35.5</v>
      </c>
      <c r="P128" s="28">
        <v>9.17</v>
      </c>
      <c r="Q128" s="28">
        <v>35.5</v>
      </c>
      <c r="R128" s="28">
        <v>28.9</v>
      </c>
      <c r="S128" s="28">
        <v>13.3</v>
      </c>
      <c r="T128" s="28">
        <v>50.8</v>
      </c>
      <c r="U128" s="28">
        <v>6.93</v>
      </c>
      <c r="V128" s="28">
        <v>48.8</v>
      </c>
      <c r="W128" s="28">
        <v>10.199999999999999</v>
      </c>
      <c r="X128" s="28">
        <v>45.8</v>
      </c>
      <c r="Y128" s="28">
        <v>2.4300000000000002</v>
      </c>
      <c r="Z128" s="28">
        <v>41.9</v>
      </c>
      <c r="AA128" s="28">
        <v>9.89</v>
      </c>
      <c r="AB128" s="28">
        <v>18.600000000000001</v>
      </c>
      <c r="AC128" s="28">
        <v>8.91</v>
      </c>
      <c r="AD128" s="28">
        <v>16.2</v>
      </c>
      <c r="AE128" s="28">
        <v>14.2</v>
      </c>
      <c r="AF128" s="28">
        <v>60.5</v>
      </c>
      <c r="AG128" s="28">
        <v>8.39</v>
      </c>
      <c r="AH128" s="28">
        <v>2.96</v>
      </c>
      <c r="AI128" s="28">
        <v>32.299999999999997</v>
      </c>
      <c r="AJ128" s="28">
        <v>43</v>
      </c>
      <c r="AK128" s="28">
        <v>11</v>
      </c>
      <c r="AL128" s="28">
        <v>10.8</v>
      </c>
      <c r="AM128" s="28">
        <v>13</v>
      </c>
      <c r="AN128" s="28">
        <v>0.52</v>
      </c>
      <c r="AO128" s="28">
        <v>1.07</v>
      </c>
      <c r="AP128" s="28">
        <v>1.33</v>
      </c>
      <c r="AQ128" s="28">
        <v>6.97</v>
      </c>
      <c r="AR128" s="28">
        <v>76</v>
      </c>
      <c r="AS128" s="28">
        <v>22.6</v>
      </c>
      <c r="AT128" s="28">
        <v>1.2</v>
      </c>
      <c r="AU128" s="28">
        <v>74.7</v>
      </c>
      <c r="AV128" s="28">
        <v>16.899999999999999</v>
      </c>
      <c r="AW128" s="28">
        <v>61.7</v>
      </c>
      <c r="AX128" s="28">
        <v>6.91</v>
      </c>
      <c r="AY128" s="28">
        <v>24.4</v>
      </c>
      <c r="AZ128" s="28">
        <v>0.43</v>
      </c>
      <c r="BA128" s="28">
        <v>3.53</v>
      </c>
      <c r="BB128" s="28">
        <v>53.9</v>
      </c>
      <c r="BC128" s="28">
        <v>52.3</v>
      </c>
      <c r="BD128" s="28">
        <v>0.26</v>
      </c>
      <c r="BE128" s="28">
        <v>0.78</v>
      </c>
      <c r="BF128" s="28">
        <v>2.2400000000000002</v>
      </c>
      <c r="BG128" s="28">
        <v>24.6</v>
      </c>
      <c r="BH128" s="28">
        <v>328</v>
      </c>
      <c r="BI128" s="28">
        <v>422</v>
      </c>
      <c r="BJ128" s="28">
        <v>523</v>
      </c>
      <c r="BK128" s="28">
        <v>1107</v>
      </c>
      <c r="BL128" s="28">
        <v>473</v>
      </c>
      <c r="BM128" s="28">
        <v>3.99</v>
      </c>
    </row>
    <row r="129" spans="1:65" x14ac:dyDescent="0.5">
      <c r="A129" s="44">
        <v>226</v>
      </c>
      <c r="B129" s="28">
        <v>6.99</v>
      </c>
      <c r="C129" s="28">
        <v>3.34</v>
      </c>
      <c r="D129" s="34">
        <v>8.8800000000000007E-3</v>
      </c>
      <c r="E129" s="28">
        <v>31.8</v>
      </c>
      <c r="F129" s="28">
        <v>64.8</v>
      </c>
      <c r="G129" s="28">
        <v>70.900000000000006</v>
      </c>
      <c r="H129" s="28">
        <v>6.5000000000000002E-2</v>
      </c>
      <c r="I129" s="28">
        <v>1.98</v>
      </c>
      <c r="J129" s="28">
        <v>8.1</v>
      </c>
      <c r="K129" s="28">
        <v>61.1</v>
      </c>
      <c r="L129" s="28">
        <v>40.6</v>
      </c>
      <c r="M129" s="28">
        <v>7.27</v>
      </c>
      <c r="N129" s="28">
        <v>56.3</v>
      </c>
      <c r="O129" s="28">
        <v>22.7</v>
      </c>
      <c r="P129" s="28">
        <v>11.9</v>
      </c>
      <c r="Q129" s="28">
        <v>30.7</v>
      </c>
      <c r="R129" s="28">
        <v>32.5</v>
      </c>
      <c r="S129" s="28">
        <v>14.9</v>
      </c>
      <c r="T129" s="28">
        <v>43</v>
      </c>
      <c r="U129" s="28">
        <v>9.6199999999999992</v>
      </c>
      <c r="V129" s="28">
        <v>56.6</v>
      </c>
      <c r="W129" s="28">
        <v>4.93</v>
      </c>
      <c r="X129" s="28">
        <v>39.6</v>
      </c>
      <c r="Y129" s="28">
        <v>3.57</v>
      </c>
      <c r="Z129" s="28">
        <v>50</v>
      </c>
      <c r="AA129" s="28">
        <v>6.85</v>
      </c>
      <c r="AB129" s="28">
        <v>19.8</v>
      </c>
      <c r="AC129" s="28">
        <v>3.81</v>
      </c>
      <c r="AD129" s="28">
        <v>11</v>
      </c>
      <c r="AE129" s="28">
        <v>13.5</v>
      </c>
      <c r="AF129" s="28">
        <v>71.599999999999994</v>
      </c>
      <c r="AG129" s="28">
        <v>19</v>
      </c>
      <c r="AH129" s="28">
        <v>1.83</v>
      </c>
      <c r="AI129" s="28">
        <v>27.9</v>
      </c>
      <c r="AJ129" s="28">
        <v>55.6</v>
      </c>
      <c r="AK129" s="28">
        <v>12</v>
      </c>
      <c r="AL129" s="28">
        <v>8.0500000000000007</v>
      </c>
      <c r="AM129" s="28">
        <v>16.399999999999999</v>
      </c>
      <c r="AN129" s="28">
        <v>0.56999999999999995</v>
      </c>
      <c r="AO129" s="28">
        <v>1.32</v>
      </c>
      <c r="AP129" s="28">
        <v>0.92</v>
      </c>
      <c r="AQ129" s="28">
        <v>1.9</v>
      </c>
      <c r="AR129" s="28">
        <v>52.2</v>
      </c>
      <c r="AS129" s="28">
        <v>45.6</v>
      </c>
      <c r="AT129" s="28">
        <v>2.0499999999999998</v>
      </c>
      <c r="AU129" s="28">
        <v>81.099999999999994</v>
      </c>
      <c r="AV129" s="28">
        <v>16.5</v>
      </c>
      <c r="AW129" s="28">
        <v>58.8</v>
      </c>
      <c r="AX129" s="28">
        <v>3.98</v>
      </c>
      <c r="AY129" s="28">
        <v>27</v>
      </c>
      <c r="AZ129" s="28">
        <v>0.25</v>
      </c>
      <c r="BA129" s="28">
        <v>4.45</v>
      </c>
      <c r="BB129" s="28">
        <v>35.9</v>
      </c>
      <c r="BC129" s="28">
        <v>47.6</v>
      </c>
      <c r="BD129" s="28">
        <v>0.19</v>
      </c>
      <c r="BE129" s="28">
        <v>3.57</v>
      </c>
      <c r="BF129" s="28">
        <v>5.68</v>
      </c>
      <c r="BG129" s="28">
        <v>-52.7</v>
      </c>
      <c r="BH129" s="28">
        <v>195</v>
      </c>
      <c r="BI129" s="28">
        <v>291</v>
      </c>
      <c r="BJ129" s="28">
        <v>214</v>
      </c>
      <c r="BK129" s="28">
        <v>365</v>
      </c>
      <c r="BL129" s="28">
        <v>176</v>
      </c>
      <c r="BM129" s="28">
        <v>2.41</v>
      </c>
    </row>
    <row r="130" spans="1:65" x14ac:dyDescent="0.5">
      <c r="A130" s="44">
        <v>227</v>
      </c>
      <c r="B130" s="30">
        <v>18.2</v>
      </c>
      <c r="C130" s="30">
        <v>2.27</v>
      </c>
      <c r="D130" s="30">
        <v>0.26</v>
      </c>
      <c r="E130" s="30">
        <v>14.8</v>
      </c>
      <c r="F130" s="30">
        <v>82.7</v>
      </c>
      <c r="G130" s="30">
        <v>67.7</v>
      </c>
      <c r="H130" s="30">
        <v>6.9000000000000006E-2</v>
      </c>
      <c r="I130" s="30">
        <v>1.39</v>
      </c>
      <c r="J130" s="30">
        <v>5.87</v>
      </c>
      <c r="K130" s="30">
        <v>60.3</v>
      </c>
      <c r="L130" s="30">
        <v>33.1</v>
      </c>
      <c r="M130" s="30">
        <v>4.6900000000000004</v>
      </c>
      <c r="N130" s="30">
        <v>55.3</v>
      </c>
      <c r="O130" s="30">
        <v>11.5</v>
      </c>
      <c r="P130" s="30">
        <v>23.2</v>
      </c>
      <c r="Q130" s="30">
        <v>32.6</v>
      </c>
      <c r="R130" s="30">
        <v>30.2</v>
      </c>
      <c r="S130" s="30">
        <v>16.2</v>
      </c>
      <c r="T130" s="30">
        <v>42</v>
      </c>
      <c r="U130" s="30">
        <v>11.6</v>
      </c>
      <c r="V130" s="30">
        <v>51</v>
      </c>
      <c r="W130" s="30">
        <v>5.77</v>
      </c>
      <c r="X130" s="30">
        <v>32.9</v>
      </c>
      <c r="Y130" s="30">
        <v>9.25</v>
      </c>
      <c r="Z130" s="30">
        <v>40.6</v>
      </c>
      <c r="AA130" s="30">
        <v>17.2</v>
      </c>
      <c r="AB130" s="30">
        <v>25.7</v>
      </c>
      <c r="AC130" s="30">
        <v>3.67</v>
      </c>
      <c r="AD130" s="30">
        <v>15.9</v>
      </c>
      <c r="AE130" s="30">
        <v>56</v>
      </c>
      <c r="AF130" s="30">
        <v>21.6</v>
      </c>
      <c r="AG130" s="30">
        <v>6.4</v>
      </c>
      <c r="AH130" s="30">
        <v>4.75</v>
      </c>
      <c r="AI130" s="30">
        <v>23.5</v>
      </c>
      <c r="AJ130" s="30">
        <v>53.5</v>
      </c>
      <c r="AK130" s="30">
        <v>12.4</v>
      </c>
      <c r="AL130" s="30">
        <v>15</v>
      </c>
      <c r="AM130" s="30">
        <v>20.100000000000001</v>
      </c>
      <c r="AN130" s="30">
        <v>1.03</v>
      </c>
      <c r="AO130" s="30">
        <v>3.48</v>
      </c>
      <c r="AP130" s="30">
        <v>1.84</v>
      </c>
      <c r="AQ130" s="30">
        <v>4.17</v>
      </c>
      <c r="AR130" s="30">
        <v>67.400000000000006</v>
      </c>
      <c r="AS130" s="30">
        <v>26.1</v>
      </c>
      <c r="AT130" s="30">
        <v>5.72</v>
      </c>
      <c r="AU130" s="30">
        <v>80.3</v>
      </c>
      <c r="AV130" s="30">
        <v>13.4</v>
      </c>
      <c r="AW130" s="30">
        <v>40.9</v>
      </c>
      <c r="AX130" s="30">
        <v>13.7</v>
      </c>
      <c r="AY130" s="30">
        <v>41.7</v>
      </c>
      <c r="AZ130" s="30">
        <v>4.57</v>
      </c>
      <c r="BA130" s="30">
        <v>10.1</v>
      </c>
      <c r="BB130" s="30">
        <v>63.7</v>
      </c>
      <c r="BC130" s="30">
        <v>68.599999999999994</v>
      </c>
      <c r="BD130" s="30">
        <v>1.91</v>
      </c>
      <c r="BE130" s="30">
        <v>2.9</v>
      </c>
      <c r="BF130" s="30">
        <v>24.2</v>
      </c>
      <c r="BG130" s="30">
        <v>-54</v>
      </c>
      <c r="BH130" s="30">
        <v>232</v>
      </c>
      <c r="BI130" s="30">
        <v>201</v>
      </c>
      <c r="BJ130" s="30">
        <v>233</v>
      </c>
      <c r="BK130" s="30">
        <v>480</v>
      </c>
      <c r="BL130" s="30">
        <v>123</v>
      </c>
      <c r="BM130" s="30">
        <v>-8.06</v>
      </c>
    </row>
    <row r="131" spans="1:65" x14ac:dyDescent="0.5">
      <c r="A131" s="44">
        <v>228</v>
      </c>
      <c r="B131" s="28">
        <v>7.25</v>
      </c>
      <c r="C131" s="28">
        <v>4.32</v>
      </c>
      <c r="D131" s="28">
        <v>0.26</v>
      </c>
      <c r="E131" s="28">
        <v>31.6</v>
      </c>
      <c r="F131" s="28">
        <v>63.8</v>
      </c>
      <c r="G131" s="28">
        <v>83.4</v>
      </c>
      <c r="H131" s="34">
        <v>4.0299999999999997E-3</v>
      </c>
      <c r="I131" s="28">
        <v>1.97</v>
      </c>
      <c r="J131" s="28">
        <v>4.43</v>
      </c>
      <c r="K131" s="28">
        <v>77.3</v>
      </c>
      <c r="L131" s="28">
        <v>42.3</v>
      </c>
      <c r="M131" s="28">
        <v>6.33</v>
      </c>
      <c r="N131" s="28">
        <v>38.6</v>
      </c>
      <c r="O131" s="28">
        <v>30.9</v>
      </c>
      <c r="P131" s="28">
        <v>23.7</v>
      </c>
      <c r="Q131" s="28">
        <v>44.5</v>
      </c>
      <c r="R131" s="28">
        <v>70.900000000000006</v>
      </c>
      <c r="S131" s="28">
        <v>1.02</v>
      </c>
      <c r="T131" s="28">
        <v>24.5</v>
      </c>
      <c r="U131" s="28">
        <v>3.62</v>
      </c>
      <c r="V131" s="28">
        <v>33.700000000000003</v>
      </c>
      <c r="W131" s="28">
        <v>9.59</v>
      </c>
      <c r="X131" s="28">
        <v>50.8</v>
      </c>
      <c r="Y131" s="28">
        <v>0.99</v>
      </c>
      <c r="Z131" s="28">
        <v>44.7</v>
      </c>
      <c r="AA131" s="28">
        <v>3.52</v>
      </c>
      <c r="AB131" s="28">
        <v>33.799999999999997</v>
      </c>
      <c r="AC131" s="28">
        <v>5.56</v>
      </c>
      <c r="AD131" s="28">
        <v>26.3</v>
      </c>
      <c r="AE131" s="28">
        <v>35.9</v>
      </c>
      <c r="AF131" s="28">
        <v>32.1</v>
      </c>
      <c r="AG131" s="28">
        <v>7.03</v>
      </c>
      <c r="AH131" s="28">
        <v>3.47</v>
      </c>
      <c r="AI131" s="28">
        <v>42.7</v>
      </c>
      <c r="AJ131" s="28">
        <v>51.4</v>
      </c>
      <c r="AK131" s="28">
        <v>0.78</v>
      </c>
      <c r="AL131" s="28">
        <v>10.1</v>
      </c>
      <c r="AM131" s="28">
        <v>26.8</v>
      </c>
      <c r="AN131" s="28">
        <v>0.54</v>
      </c>
      <c r="AO131" s="28">
        <v>4.0599999999999996</v>
      </c>
      <c r="AP131" s="28">
        <v>2.33</v>
      </c>
      <c r="AQ131" s="28">
        <v>19.100000000000001</v>
      </c>
      <c r="AR131" s="28">
        <v>73.900000000000006</v>
      </c>
      <c r="AS131" s="28">
        <v>0.26</v>
      </c>
      <c r="AT131" s="28">
        <v>4.72</v>
      </c>
      <c r="AU131" s="28">
        <v>61.5</v>
      </c>
      <c r="AV131" s="28">
        <v>14.4</v>
      </c>
      <c r="AW131" s="28">
        <v>50.9</v>
      </c>
      <c r="AX131" s="28">
        <v>4.37</v>
      </c>
      <c r="AY131" s="28">
        <v>38.4</v>
      </c>
      <c r="AZ131" s="28">
        <v>0.71</v>
      </c>
      <c r="BA131" s="28">
        <v>6.88</v>
      </c>
      <c r="BB131" s="28">
        <v>56.1</v>
      </c>
      <c r="BC131" s="28">
        <v>81.5</v>
      </c>
      <c r="BD131" s="28">
        <v>0.26</v>
      </c>
      <c r="BE131" s="28">
        <v>1.46</v>
      </c>
      <c r="BF131" s="28">
        <v>45.8</v>
      </c>
      <c r="BG131" s="28">
        <v>-120</v>
      </c>
      <c r="BH131" s="28">
        <v>155</v>
      </c>
      <c r="BI131" s="28">
        <v>210</v>
      </c>
      <c r="BJ131" s="28">
        <v>306</v>
      </c>
      <c r="BK131" s="28">
        <v>288</v>
      </c>
      <c r="BL131" s="28">
        <v>26.4</v>
      </c>
      <c r="BM131" s="28">
        <v>14.9</v>
      </c>
    </row>
    <row r="132" spans="1:65" x14ac:dyDescent="0.5">
      <c r="A132" s="44">
        <v>229</v>
      </c>
      <c r="B132" s="28">
        <v>13.7</v>
      </c>
      <c r="C132" s="28">
        <v>3.38</v>
      </c>
      <c r="D132" s="28">
        <v>0.21</v>
      </c>
      <c r="E132" s="28">
        <v>23.6</v>
      </c>
      <c r="F132" s="28">
        <v>72.8</v>
      </c>
      <c r="G132" s="28">
        <v>57.2</v>
      </c>
      <c r="H132" s="28">
        <v>2.1999999999999999E-2</v>
      </c>
      <c r="I132" s="28">
        <v>4.6399999999999997</v>
      </c>
      <c r="J132" s="28">
        <v>5.99</v>
      </c>
      <c r="K132" s="28">
        <v>48.5</v>
      </c>
      <c r="L132" s="28">
        <v>29.9</v>
      </c>
      <c r="M132" s="28">
        <v>9.58</v>
      </c>
      <c r="N132" s="28">
        <v>61.7</v>
      </c>
      <c r="O132" s="28">
        <v>17.7</v>
      </c>
      <c r="P132" s="28">
        <v>6.52</v>
      </c>
      <c r="Q132" s="28">
        <v>18.3</v>
      </c>
      <c r="R132" s="28">
        <v>30.8</v>
      </c>
      <c r="S132" s="28">
        <v>20</v>
      </c>
      <c r="T132" s="28">
        <v>36.200000000000003</v>
      </c>
      <c r="U132" s="28">
        <v>13</v>
      </c>
      <c r="V132" s="28">
        <v>65</v>
      </c>
      <c r="W132" s="28">
        <v>7.05</v>
      </c>
      <c r="X132" s="28">
        <v>36.299999999999997</v>
      </c>
      <c r="Y132" s="28">
        <v>6.6</v>
      </c>
      <c r="Z132" s="28">
        <v>46.1</v>
      </c>
      <c r="AA132" s="28">
        <v>11</v>
      </c>
      <c r="AB132" s="28">
        <v>17.3</v>
      </c>
      <c r="AC132" s="28">
        <v>4.0999999999999996</v>
      </c>
      <c r="AD132" s="28">
        <v>11.1</v>
      </c>
      <c r="AE132" s="28">
        <v>24.3</v>
      </c>
      <c r="AF132" s="28">
        <v>60.4</v>
      </c>
      <c r="AG132" s="28">
        <v>26.9</v>
      </c>
      <c r="AH132" s="28">
        <v>4.68</v>
      </c>
      <c r="AI132" s="28">
        <v>11.6</v>
      </c>
      <c r="AJ132" s="28">
        <v>77.5</v>
      </c>
      <c r="AK132" s="28">
        <v>3.13</v>
      </c>
      <c r="AL132" s="28">
        <v>4.37</v>
      </c>
      <c r="AM132" s="28">
        <v>30.8</v>
      </c>
      <c r="AN132" s="28">
        <v>0.54</v>
      </c>
      <c r="AO132" s="28">
        <v>1.51</v>
      </c>
      <c r="AP132" s="28">
        <v>16.600000000000001</v>
      </c>
      <c r="AQ132" s="28">
        <v>6.67</v>
      </c>
      <c r="AR132" s="28">
        <v>93.7</v>
      </c>
      <c r="AS132" s="28">
        <v>4.54</v>
      </c>
      <c r="AT132" s="28">
        <v>1.65</v>
      </c>
      <c r="AU132" s="28">
        <v>76.099999999999994</v>
      </c>
      <c r="AV132" s="28">
        <v>3.62</v>
      </c>
      <c r="AW132" s="28">
        <v>57.1</v>
      </c>
      <c r="AX132" s="28">
        <v>3.74</v>
      </c>
      <c r="AY132" s="28">
        <v>36</v>
      </c>
      <c r="AZ132" s="28">
        <v>1.04</v>
      </c>
      <c r="BA132" s="28">
        <v>21.3</v>
      </c>
      <c r="BB132" s="28">
        <v>54.7</v>
      </c>
      <c r="BC132" s="28">
        <v>69.3</v>
      </c>
      <c r="BD132" s="28">
        <v>0.31</v>
      </c>
      <c r="BE132" s="28">
        <v>4.8</v>
      </c>
      <c r="BF132" s="28">
        <v>9.6</v>
      </c>
      <c r="BG132" s="28">
        <v>107</v>
      </c>
      <c r="BH132" s="28">
        <v>482</v>
      </c>
      <c r="BI132" s="28">
        <v>719</v>
      </c>
      <c r="BJ132" s="28">
        <v>704</v>
      </c>
      <c r="BK132" s="28">
        <v>904</v>
      </c>
      <c r="BL132" s="28">
        <v>301</v>
      </c>
      <c r="BM132" s="28">
        <v>61.6</v>
      </c>
    </row>
    <row r="133" spans="1:65" x14ac:dyDescent="0.5">
      <c r="A133" s="44">
        <v>230</v>
      </c>
      <c r="B133" s="30">
        <v>8.25</v>
      </c>
      <c r="C133" s="30">
        <v>10.4</v>
      </c>
      <c r="D133" s="30">
        <v>0.24</v>
      </c>
      <c r="E133" s="30">
        <v>32.1</v>
      </c>
      <c r="F133" s="30">
        <v>57.1</v>
      </c>
      <c r="G133" s="30">
        <v>67.8</v>
      </c>
      <c r="H133" s="30">
        <v>7.6999999999999999E-2</v>
      </c>
      <c r="I133" s="30">
        <v>4.4800000000000004</v>
      </c>
      <c r="J133" s="30">
        <v>5.57</v>
      </c>
      <c r="K133" s="30">
        <v>59</v>
      </c>
      <c r="L133" s="30">
        <v>34.6</v>
      </c>
      <c r="M133" s="30">
        <v>4.76</v>
      </c>
      <c r="N133" s="30">
        <v>54.4</v>
      </c>
      <c r="O133" s="30">
        <v>23.4</v>
      </c>
      <c r="P133" s="30">
        <v>12.5</v>
      </c>
      <c r="Q133" s="30">
        <v>30.7</v>
      </c>
      <c r="R133" s="30">
        <v>27.2</v>
      </c>
      <c r="S133" s="30">
        <v>21.6</v>
      </c>
      <c r="T133" s="30">
        <v>33</v>
      </c>
      <c r="U133" s="30">
        <v>18.2</v>
      </c>
      <c r="V133" s="30">
        <v>57.8</v>
      </c>
      <c r="W133" s="30">
        <v>8.58</v>
      </c>
      <c r="X133" s="30">
        <v>34.9</v>
      </c>
      <c r="Y133" s="30">
        <v>8.7799999999999994</v>
      </c>
      <c r="Z133" s="30">
        <v>25.1</v>
      </c>
      <c r="AA133" s="30">
        <v>31.2</v>
      </c>
      <c r="AB133" s="30">
        <v>23.5</v>
      </c>
      <c r="AC133" s="30">
        <v>5.34</v>
      </c>
      <c r="AD133" s="30">
        <v>15.9</v>
      </c>
      <c r="AE133" s="30">
        <v>12.3</v>
      </c>
      <c r="AF133" s="30">
        <v>63.3</v>
      </c>
      <c r="AG133" s="30">
        <v>18.2</v>
      </c>
      <c r="AH133" s="30">
        <v>2.33</v>
      </c>
      <c r="AI133" s="30">
        <v>23.5</v>
      </c>
      <c r="AJ133" s="30">
        <v>65.7</v>
      </c>
      <c r="AK133" s="30">
        <v>3.74</v>
      </c>
      <c r="AL133" s="30">
        <v>25.3</v>
      </c>
      <c r="AM133" s="30">
        <v>23.9</v>
      </c>
      <c r="AN133" s="30">
        <v>1.03</v>
      </c>
      <c r="AO133" s="30">
        <v>1.85</v>
      </c>
      <c r="AP133" s="30">
        <v>3.24</v>
      </c>
      <c r="AQ133" s="30">
        <v>13</v>
      </c>
      <c r="AR133" s="30">
        <v>67.599999999999994</v>
      </c>
      <c r="AS133" s="30">
        <v>29.5</v>
      </c>
      <c r="AT133" s="30">
        <v>2.84</v>
      </c>
      <c r="AU133" s="30">
        <v>70.2</v>
      </c>
      <c r="AV133" s="30">
        <v>15.2</v>
      </c>
      <c r="AW133" s="30">
        <v>43.2</v>
      </c>
      <c r="AX133" s="30">
        <v>3.09</v>
      </c>
      <c r="AY133" s="30">
        <v>51</v>
      </c>
      <c r="AZ133" s="30">
        <v>0.87</v>
      </c>
      <c r="BA133" s="30">
        <v>15.2</v>
      </c>
      <c r="BB133" s="30">
        <v>69.7</v>
      </c>
      <c r="BC133" s="30">
        <v>60</v>
      </c>
      <c r="BD133" s="30">
        <v>1.74</v>
      </c>
      <c r="BE133" s="30">
        <v>5.76</v>
      </c>
      <c r="BF133" s="30">
        <v>11.1</v>
      </c>
      <c r="BG133" s="30">
        <v>-78.5</v>
      </c>
      <c r="BH133" s="30">
        <v>153</v>
      </c>
      <c r="BI133" s="30">
        <v>201</v>
      </c>
      <c r="BJ133" s="30">
        <v>383</v>
      </c>
      <c r="BK133" s="30">
        <v>1305</v>
      </c>
      <c r="BL133" s="30">
        <v>392</v>
      </c>
      <c r="BM133" s="30">
        <v>-18.600000000000001</v>
      </c>
    </row>
    <row r="134" spans="1:65" x14ac:dyDescent="0.5">
      <c r="A134" s="44">
        <v>231</v>
      </c>
      <c r="B134" s="30">
        <v>2.56</v>
      </c>
      <c r="C134" s="30">
        <v>17.899999999999999</v>
      </c>
      <c r="D134" s="30">
        <v>0.14000000000000001</v>
      </c>
      <c r="E134" s="30">
        <v>38.5</v>
      </c>
      <c r="F134" s="30">
        <v>41.7</v>
      </c>
      <c r="G134" s="30">
        <v>86.1</v>
      </c>
      <c r="H134" s="30">
        <v>8.4000000000000005E-2</v>
      </c>
      <c r="I134" s="30">
        <v>1.1299999999999999</v>
      </c>
      <c r="J134" s="30">
        <v>1.42</v>
      </c>
      <c r="K134" s="30">
        <v>83.4</v>
      </c>
      <c r="L134" s="30">
        <v>58.1</v>
      </c>
      <c r="M134" s="30">
        <v>5.55</v>
      </c>
      <c r="N134" s="30">
        <v>68.8</v>
      </c>
      <c r="O134" s="30">
        <v>16.2</v>
      </c>
      <c r="P134" s="30">
        <v>3.91</v>
      </c>
      <c r="Q134" s="30">
        <v>18.899999999999999</v>
      </c>
      <c r="R134" s="30">
        <v>19.600000000000001</v>
      </c>
      <c r="S134" s="30">
        <v>17.8</v>
      </c>
      <c r="T134" s="30">
        <v>51.1</v>
      </c>
      <c r="U134" s="30">
        <v>11.5</v>
      </c>
      <c r="V134" s="30">
        <v>71.400000000000006</v>
      </c>
      <c r="W134" s="30">
        <v>4.74</v>
      </c>
      <c r="X134" s="30">
        <v>12.8</v>
      </c>
      <c r="Y134" s="30">
        <v>15.8</v>
      </c>
      <c r="Z134" s="30">
        <v>52.3</v>
      </c>
      <c r="AA134" s="30">
        <v>19.100000000000001</v>
      </c>
      <c r="AB134" s="30">
        <v>24</v>
      </c>
      <c r="AC134" s="30">
        <v>3.48</v>
      </c>
      <c r="AD134" s="30">
        <v>4.2699999999999996</v>
      </c>
      <c r="AE134" s="30">
        <v>27.5</v>
      </c>
      <c r="AF134" s="30">
        <v>62</v>
      </c>
      <c r="AG134" s="30">
        <v>9.33</v>
      </c>
      <c r="AH134" s="30">
        <v>2.36</v>
      </c>
      <c r="AI134" s="30">
        <v>21.7</v>
      </c>
      <c r="AJ134" s="30">
        <v>67.599999999999994</v>
      </c>
      <c r="AK134" s="30">
        <v>4.28</v>
      </c>
      <c r="AL134" s="30">
        <v>11.2</v>
      </c>
      <c r="AM134" s="30">
        <v>4.93</v>
      </c>
      <c r="AN134" s="30">
        <v>0.27</v>
      </c>
      <c r="AO134" s="30">
        <v>0.23</v>
      </c>
      <c r="AP134" s="30">
        <v>2.4300000000000002</v>
      </c>
      <c r="AQ134" s="30">
        <v>6.94</v>
      </c>
      <c r="AR134" s="30">
        <v>59.7</v>
      </c>
      <c r="AS134" s="30">
        <v>39.700000000000003</v>
      </c>
      <c r="AT134" s="30">
        <v>0.55000000000000004</v>
      </c>
      <c r="AU134" s="30">
        <v>62.6</v>
      </c>
      <c r="AV134" s="30">
        <v>29.2</v>
      </c>
      <c r="AW134" s="30">
        <v>69.3</v>
      </c>
      <c r="AX134" s="30">
        <v>5.34</v>
      </c>
      <c r="AY134" s="30">
        <v>17.2</v>
      </c>
      <c r="AZ134" s="30">
        <v>0.55000000000000004</v>
      </c>
      <c r="BA134" s="30">
        <v>12</v>
      </c>
      <c r="BB134" s="30">
        <v>67.8</v>
      </c>
      <c r="BC134" s="30">
        <v>68.099999999999994</v>
      </c>
      <c r="BD134" s="30">
        <v>0.61</v>
      </c>
      <c r="BE134" s="30">
        <v>2.8</v>
      </c>
      <c r="BF134" s="30">
        <v>7.62</v>
      </c>
      <c r="BG134" s="30">
        <v>-34.5</v>
      </c>
      <c r="BH134" s="30">
        <v>339</v>
      </c>
      <c r="BI134" s="30">
        <v>518</v>
      </c>
      <c r="BJ134" s="30">
        <v>496</v>
      </c>
      <c r="BK134" s="30">
        <v>1407</v>
      </c>
      <c r="BL134" s="30">
        <v>276</v>
      </c>
      <c r="BM134" s="30">
        <v>-8.9600000000000009</v>
      </c>
    </row>
    <row r="135" spans="1:65" x14ac:dyDescent="0.5">
      <c r="A135" s="44">
        <v>232</v>
      </c>
      <c r="B135" s="30">
        <v>11.1</v>
      </c>
      <c r="C135" s="30">
        <v>6.61</v>
      </c>
      <c r="D135" s="30">
        <v>0.31</v>
      </c>
      <c r="E135" s="30">
        <v>42.4</v>
      </c>
      <c r="F135" s="30">
        <v>50.6</v>
      </c>
      <c r="G135" s="30">
        <v>65.8</v>
      </c>
      <c r="H135" s="30">
        <v>1.7000000000000001E-2</v>
      </c>
      <c r="I135" s="30">
        <v>0.28999999999999998</v>
      </c>
      <c r="J135" s="30">
        <v>1.29</v>
      </c>
      <c r="K135" s="30">
        <v>64.099999999999994</v>
      </c>
      <c r="L135" s="30">
        <v>31.5</v>
      </c>
      <c r="M135" s="30">
        <v>4.7300000000000004</v>
      </c>
      <c r="N135" s="30">
        <v>45.7</v>
      </c>
      <c r="O135" s="30">
        <v>18.899999999999999</v>
      </c>
      <c r="P135" s="30">
        <v>27.2</v>
      </c>
      <c r="Q135" s="30">
        <v>42</v>
      </c>
      <c r="R135" s="30">
        <v>65.8</v>
      </c>
      <c r="S135" s="30">
        <v>4.12</v>
      </c>
      <c r="T135" s="30">
        <v>15.7</v>
      </c>
      <c r="U135" s="30">
        <v>14.4</v>
      </c>
      <c r="V135" s="30">
        <v>45.8</v>
      </c>
      <c r="W135" s="30">
        <v>5.94</v>
      </c>
      <c r="X135" s="30">
        <v>53.1</v>
      </c>
      <c r="Y135" s="30">
        <v>3.5</v>
      </c>
      <c r="Z135" s="30">
        <v>23</v>
      </c>
      <c r="AA135" s="30">
        <v>20.399999999999999</v>
      </c>
      <c r="AB135" s="30">
        <v>31.3</v>
      </c>
      <c r="AC135" s="30">
        <v>4.5999999999999996</v>
      </c>
      <c r="AD135" s="30">
        <v>34.9</v>
      </c>
      <c r="AE135" s="30">
        <v>52.9</v>
      </c>
      <c r="AF135" s="30">
        <v>6.51</v>
      </c>
      <c r="AG135" s="30">
        <v>7.97</v>
      </c>
      <c r="AH135" s="30">
        <v>6.95</v>
      </c>
      <c r="AI135" s="30">
        <v>49.2</v>
      </c>
      <c r="AJ135" s="30">
        <v>35.700000000000003</v>
      </c>
      <c r="AK135" s="30">
        <v>1.77</v>
      </c>
      <c r="AL135" s="30">
        <v>17.7</v>
      </c>
      <c r="AM135" s="30">
        <v>31.1</v>
      </c>
      <c r="AN135" s="30">
        <v>1.6</v>
      </c>
      <c r="AO135" s="30">
        <v>5.05</v>
      </c>
      <c r="AP135" s="30">
        <v>3.06</v>
      </c>
      <c r="AQ135" s="30">
        <v>31.5</v>
      </c>
      <c r="AR135" s="30">
        <v>51.5</v>
      </c>
      <c r="AS135" s="30">
        <v>40.6</v>
      </c>
      <c r="AT135" s="30">
        <v>0.6</v>
      </c>
      <c r="AU135" s="30">
        <v>40.200000000000003</v>
      </c>
      <c r="AV135" s="30">
        <v>23.9</v>
      </c>
      <c r="AW135" s="30">
        <v>41.9</v>
      </c>
      <c r="AX135" s="30">
        <v>3.48</v>
      </c>
      <c r="AY135" s="30">
        <v>50.1</v>
      </c>
      <c r="AZ135" s="30">
        <v>3.02</v>
      </c>
      <c r="BA135" s="30">
        <v>11.9</v>
      </c>
      <c r="BB135" s="30">
        <v>69.8</v>
      </c>
      <c r="BC135" s="30">
        <v>48.7</v>
      </c>
      <c r="BD135" s="30">
        <v>2.25</v>
      </c>
      <c r="BE135" s="30">
        <v>3.47</v>
      </c>
      <c r="BF135" s="30">
        <v>24.8</v>
      </c>
      <c r="BG135" s="30">
        <v>-59.9</v>
      </c>
      <c r="BH135" s="30">
        <v>111</v>
      </c>
      <c r="BI135" s="30">
        <v>99.3</v>
      </c>
      <c r="BJ135" s="30">
        <v>97.1</v>
      </c>
      <c r="BK135" s="30">
        <v>49.3</v>
      </c>
      <c r="BL135" s="30">
        <v>38.9</v>
      </c>
      <c r="BM135" s="30">
        <v>-15.7</v>
      </c>
    </row>
    <row r="136" spans="1:65" x14ac:dyDescent="0.5">
      <c r="A136" s="44">
        <v>233</v>
      </c>
      <c r="B136" s="28">
        <v>12.2</v>
      </c>
      <c r="C136" s="28">
        <v>3.73</v>
      </c>
      <c r="D136" s="28">
        <v>0.71</v>
      </c>
      <c r="E136" s="28">
        <v>26</v>
      </c>
      <c r="F136" s="28">
        <v>69.599999999999994</v>
      </c>
      <c r="G136" s="28">
        <v>69.099999999999994</v>
      </c>
      <c r="H136" s="28">
        <v>1.4999999999999999E-2</v>
      </c>
      <c r="I136" s="28">
        <v>4.1399999999999997</v>
      </c>
      <c r="J136" s="28">
        <v>4.6399999999999997</v>
      </c>
      <c r="K136" s="28">
        <v>61.5</v>
      </c>
      <c r="L136" s="28">
        <v>36.1</v>
      </c>
      <c r="M136" s="28">
        <v>9.33</v>
      </c>
      <c r="N136" s="28">
        <v>56.8</v>
      </c>
      <c r="O136" s="28">
        <v>19.2</v>
      </c>
      <c r="P136" s="28">
        <v>9.8699999999999992</v>
      </c>
      <c r="Q136" s="28">
        <v>24.2</v>
      </c>
      <c r="R136" s="28">
        <v>21.6</v>
      </c>
      <c r="S136" s="28">
        <v>26.5</v>
      </c>
      <c r="T136" s="28">
        <v>40.799999999999997</v>
      </c>
      <c r="U136" s="28">
        <v>11.1</v>
      </c>
      <c r="V136" s="28">
        <v>59.2</v>
      </c>
      <c r="W136" s="28">
        <v>6.37</v>
      </c>
      <c r="X136" s="28">
        <v>40.1</v>
      </c>
      <c r="Y136" s="28">
        <v>4.3499999999999996</v>
      </c>
      <c r="Z136" s="28">
        <v>46.5</v>
      </c>
      <c r="AA136" s="28">
        <v>9.01</v>
      </c>
      <c r="AB136" s="28">
        <v>24.4</v>
      </c>
      <c r="AC136" s="28">
        <v>2.88</v>
      </c>
      <c r="AD136" s="28">
        <v>3.38</v>
      </c>
      <c r="AE136" s="28">
        <v>6.76</v>
      </c>
      <c r="AF136" s="28">
        <v>86.9</v>
      </c>
      <c r="AG136" s="28">
        <v>17</v>
      </c>
      <c r="AH136" s="28">
        <v>3.94</v>
      </c>
      <c r="AI136" s="28">
        <v>21.1</v>
      </c>
      <c r="AJ136" s="28">
        <v>59.6</v>
      </c>
      <c r="AK136" s="28">
        <v>10</v>
      </c>
      <c r="AL136" s="28">
        <v>4.01</v>
      </c>
      <c r="AM136" s="28">
        <v>26.5</v>
      </c>
      <c r="AN136" s="28">
        <v>0.26</v>
      </c>
      <c r="AO136" s="28">
        <v>1.39</v>
      </c>
      <c r="AP136" s="28">
        <v>1.6</v>
      </c>
      <c r="AQ136" s="28">
        <v>2.6</v>
      </c>
      <c r="AR136" s="28">
        <v>91.5</v>
      </c>
      <c r="AS136" s="28">
        <v>6.86</v>
      </c>
      <c r="AT136" s="28">
        <v>1.5</v>
      </c>
      <c r="AU136" s="28">
        <v>91</v>
      </c>
      <c r="AV136" s="28">
        <v>5.58</v>
      </c>
      <c r="AW136" s="28">
        <v>64.3</v>
      </c>
      <c r="AX136" s="28">
        <v>2.35</v>
      </c>
      <c r="AY136" s="28">
        <v>31.1</v>
      </c>
      <c r="AZ136" s="28">
        <v>0.28000000000000003</v>
      </c>
      <c r="BA136" s="28">
        <v>11.3</v>
      </c>
      <c r="BB136" s="28">
        <v>37.299999999999997</v>
      </c>
      <c r="BC136" s="28">
        <v>50.1</v>
      </c>
      <c r="BD136" s="28">
        <v>0.28000000000000003</v>
      </c>
      <c r="BE136" s="28">
        <v>3.27</v>
      </c>
      <c r="BF136" s="28">
        <v>6.55</v>
      </c>
      <c r="BG136" s="28">
        <v>74.5</v>
      </c>
      <c r="BH136" s="28">
        <v>446</v>
      </c>
      <c r="BI136" s="28">
        <v>604</v>
      </c>
      <c r="BJ136" s="28">
        <v>509</v>
      </c>
      <c r="BK136" s="28">
        <v>826</v>
      </c>
      <c r="BL136" s="28">
        <v>396</v>
      </c>
      <c r="BM136" s="28">
        <v>20.7</v>
      </c>
    </row>
    <row r="137" spans="1:65" x14ac:dyDescent="0.5">
      <c r="A137" s="44">
        <v>234</v>
      </c>
      <c r="B137" s="28">
        <v>12.2</v>
      </c>
      <c r="C137" s="28">
        <v>3.06</v>
      </c>
      <c r="D137" s="28">
        <v>0.64</v>
      </c>
      <c r="E137" s="28">
        <v>32.4</v>
      </c>
      <c r="F137" s="28">
        <v>63.9</v>
      </c>
      <c r="G137" s="28">
        <v>69.2</v>
      </c>
      <c r="H137" s="28">
        <v>1.7999999999999999E-2</v>
      </c>
      <c r="I137" s="28">
        <v>0.28999999999999998</v>
      </c>
      <c r="J137" s="28">
        <v>2.36</v>
      </c>
      <c r="K137" s="28">
        <v>66.599999999999994</v>
      </c>
      <c r="L137" s="28">
        <v>51.6</v>
      </c>
      <c r="M137" s="28">
        <v>5.36</v>
      </c>
      <c r="N137" s="28">
        <v>54.7</v>
      </c>
      <c r="O137" s="28">
        <v>31.9</v>
      </c>
      <c r="P137" s="28">
        <v>5.43</v>
      </c>
      <c r="Q137" s="28">
        <v>30.4</v>
      </c>
      <c r="R137" s="28">
        <v>54.8</v>
      </c>
      <c r="S137" s="28">
        <v>4.37</v>
      </c>
      <c r="T137" s="28">
        <v>33.200000000000003</v>
      </c>
      <c r="U137" s="28">
        <v>7.64</v>
      </c>
      <c r="V137" s="28">
        <v>56.8</v>
      </c>
      <c r="W137" s="28">
        <v>7.45</v>
      </c>
      <c r="X137" s="28">
        <v>48.1</v>
      </c>
      <c r="Y137" s="28">
        <v>3.05</v>
      </c>
      <c r="Z137" s="28">
        <v>40.6</v>
      </c>
      <c r="AA137" s="28">
        <v>8.23</v>
      </c>
      <c r="AB137" s="28">
        <v>14.3</v>
      </c>
      <c r="AC137" s="28">
        <v>8.77</v>
      </c>
      <c r="AD137" s="28">
        <v>7.86</v>
      </c>
      <c r="AE137" s="28">
        <v>15.2</v>
      </c>
      <c r="AF137" s="28">
        <v>68.099999999999994</v>
      </c>
      <c r="AG137" s="28">
        <v>18</v>
      </c>
      <c r="AH137" s="28">
        <v>1.1299999999999999</v>
      </c>
      <c r="AI137" s="28">
        <v>5.44</v>
      </c>
      <c r="AJ137" s="28">
        <v>85.1</v>
      </c>
      <c r="AK137" s="28">
        <v>6.52</v>
      </c>
      <c r="AL137" s="28">
        <v>26.8</v>
      </c>
      <c r="AM137" s="28">
        <v>23.9</v>
      </c>
      <c r="AN137" s="28">
        <v>0.6</v>
      </c>
      <c r="AO137" s="28">
        <v>0.57999999999999996</v>
      </c>
      <c r="AP137" s="28">
        <v>2.13</v>
      </c>
      <c r="AQ137" s="28">
        <v>6.3</v>
      </c>
      <c r="AR137" s="28">
        <v>96.4</v>
      </c>
      <c r="AS137" s="28">
        <v>2.98</v>
      </c>
      <c r="AT137" s="28">
        <v>0.54</v>
      </c>
      <c r="AU137" s="28">
        <v>90.3</v>
      </c>
      <c r="AV137" s="28">
        <v>3.09</v>
      </c>
      <c r="AW137" s="28">
        <v>39.299999999999997</v>
      </c>
      <c r="AX137" s="28">
        <v>6.14</v>
      </c>
      <c r="AY137" s="28">
        <v>50.9</v>
      </c>
      <c r="AZ137" s="28">
        <v>1.42</v>
      </c>
      <c r="BA137" s="28">
        <v>16.2</v>
      </c>
      <c r="BB137" s="28">
        <v>53.7</v>
      </c>
      <c r="BC137" s="28">
        <v>68.900000000000006</v>
      </c>
      <c r="BD137" s="28">
        <v>0.62</v>
      </c>
      <c r="BE137" s="28">
        <v>1.86</v>
      </c>
      <c r="BF137" s="28">
        <v>8.17</v>
      </c>
      <c r="BG137" s="28">
        <v>31.5</v>
      </c>
      <c r="BH137" s="28">
        <v>424</v>
      </c>
      <c r="BI137" s="28">
        <v>434</v>
      </c>
      <c r="BJ137" s="28">
        <v>474</v>
      </c>
      <c r="BK137" s="28">
        <v>655</v>
      </c>
      <c r="BL137" s="28">
        <v>305</v>
      </c>
      <c r="BM137" s="28">
        <v>44.1</v>
      </c>
    </row>
    <row r="138" spans="1:65" x14ac:dyDescent="0.5">
      <c r="A138" s="44">
        <v>235</v>
      </c>
      <c r="B138" s="28">
        <v>8.85</v>
      </c>
      <c r="C138" s="28">
        <v>12.8</v>
      </c>
      <c r="D138" s="28">
        <v>2.83</v>
      </c>
      <c r="E138" s="28">
        <v>41.7</v>
      </c>
      <c r="F138" s="28">
        <v>42.6</v>
      </c>
      <c r="G138" s="28">
        <v>82.3</v>
      </c>
      <c r="H138" s="28">
        <v>2.3E-2</v>
      </c>
      <c r="I138" s="28">
        <v>0.91</v>
      </c>
      <c r="J138" s="28">
        <v>2.6</v>
      </c>
      <c r="K138" s="28">
        <v>78.5</v>
      </c>
      <c r="L138" s="28">
        <v>58.7</v>
      </c>
      <c r="M138" s="28">
        <v>5.31</v>
      </c>
      <c r="N138" s="28">
        <v>46</v>
      </c>
      <c r="O138" s="28">
        <v>37.5</v>
      </c>
      <c r="P138" s="28">
        <v>8.59</v>
      </c>
      <c r="Q138" s="28">
        <v>32.6</v>
      </c>
      <c r="R138" s="28">
        <v>19</v>
      </c>
      <c r="S138" s="28">
        <v>23.3</v>
      </c>
      <c r="T138" s="28">
        <v>51.5</v>
      </c>
      <c r="U138" s="28">
        <v>6.24</v>
      </c>
      <c r="V138" s="28">
        <v>41.5</v>
      </c>
      <c r="W138" s="28">
        <v>14.3</v>
      </c>
      <c r="X138" s="28">
        <v>19.2</v>
      </c>
      <c r="Y138" s="28">
        <v>16.5</v>
      </c>
      <c r="Z138" s="28">
        <v>41.5</v>
      </c>
      <c r="AA138" s="28">
        <v>22.7</v>
      </c>
      <c r="AB138" s="28">
        <v>18.7</v>
      </c>
      <c r="AC138" s="28">
        <v>11</v>
      </c>
      <c r="AD138" s="28">
        <v>15.2</v>
      </c>
      <c r="AE138" s="28">
        <v>31.8</v>
      </c>
      <c r="AF138" s="28">
        <v>42</v>
      </c>
      <c r="AG138" s="28">
        <v>9.43</v>
      </c>
      <c r="AH138" s="28">
        <v>3.73</v>
      </c>
      <c r="AI138" s="28">
        <v>26.2</v>
      </c>
      <c r="AJ138" s="28">
        <v>58.1</v>
      </c>
      <c r="AK138" s="28">
        <v>7.36</v>
      </c>
      <c r="AL138" s="28">
        <v>23.2</v>
      </c>
      <c r="AM138" s="28">
        <v>13.2</v>
      </c>
      <c r="AN138" s="28">
        <v>1.49</v>
      </c>
      <c r="AO138" s="28">
        <v>2.14</v>
      </c>
      <c r="AP138" s="28">
        <v>3.11</v>
      </c>
      <c r="AQ138" s="28">
        <v>17.8</v>
      </c>
      <c r="AR138" s="28">
        <v>93.3</v>
      </c>
      <c r="AS138" s="28">
        <v>3.86</v>
      </c>
      <c r="AT138" s="28">
        <v>2.29</v>
      </c>
      <c r="AU138" s="28">
        <v>78.5</v>
      </c>
      <c r="AV138" s="28">
        <v>3.34</v>
      </c>
      <c r="AW138" s="28">
        <v>54.9</v>
      </c>
      <c r="AX138" s="28">
        <v>5.47</v>
      </c>
      <c r="AY138" s="28">
        <v>36.700000000000003</v>
      </c>
      <c r="AZ138" s="28">
        <v>0.91</v>
      </c>
      <c r="BA138" s="28">
        <v>5.24</v>
      </c>
      <c r="BB138" s="28">
        <v>53.7</v>
      </c>
      <c r="BC138" s="28">
        <v>69.3</v>
      </c>
      <c r="BD138" s="28">
        <v>1.64</v>
      </c>
      <c r="BE138" s="28">
        <v>1.51</v>
      </c>
      <c r="BF138" s="28">
        <v>25</v>
      </c>
      <c r="BG138" s="28">
        <v>100</v>
      </c>
      <c r="BH138" s="28">
        <v>422</v>
      </c>
      <c r="BI138" s="28">
        <v>466</v>
      </c>
      <c r="BJ138" s="28">
        <v>558</v>
      </c>
      <c r="BK138" s="28">
        <v>491</v>
      </c>
      <c r="BL138" s="28">
        <v>182</v>
      </c>
      <c r="BM138" s="28">
        <v>61.1</v>
      </c>
    </row>
    <row r="139" spans="1:65" x14ac:dyDescent="0.5">
      <c r="A139" s="44">
        <v>236</v>
      </c>
      <c r="B139" s="28">
        <v>3.84</v>
      </c>
      <c r="C139" s="28">
        <v>5.84</v>
      </c>
      <c r="D139" s="28">
        <v>6.4000000000000001E-2</v>
      </c>
      <c r="E139" s="28">
        <v>50.4</v>
      </c>
      <c r="F139" s="28">
        <v>43.7</v>
      </c>
      <c r="G139" s="28">
        <v>82.6</v>
      </c>
      <c r="H139" s="34">
        <v>6.7200000000000003E-3</v>
      </c>
      <c r="I139" s="28">
        <v>1.98</v>
      </c>
      <c r="J139" s="28">
        <v>15.2</v>
      </c>
      <c r="K139" s="28">
        <v>65.599999999999994</v>
      </c>
      <c r="L139" s="28">
        <v>24.7</v>
      </c>
      <c r="M139" s="28">
        <v>8.89</v>
      </c>
      <c r="N139" s="28">
        <v>37.4</v>
      </c>
      <c r="O139" s="28">
        <v>30.5</v>
      </c>
      <c r="P139" s="28">
        <v>20.100000000000001</v>
      </c>
      <c r="Q139" s="28">
        <v>41.7</v>
      </c>
      <c r="R139" s="28">
        <v>44.8</v>
      </c>
      <c r="S139" s="28">
        <v>10.199999999999999</v>
      </c>
      <c r="T139" s="28">
        <v>38.9</v>
      </c>
      <c r="U139" s="28">
        <v>6.08</v>
      </c>
      <c r="V139" s="28">
        <v>36.5</v>
      </c>
      <c r="W139" s="28">
        <v>9.74</v>
      </c>
      <c r="X139" s="28">
        <v>27.3</v>
      </c>
      <c r="Y139" s="28">
        <v>7.46</v>
      </c>
      <c r="Z139" s="28">
        <v>53.5</v>
      </c>
      <c r="AA139" s="28">
        <v>11.7</v>
      </c>
      <c r="AB139" s="28">
        <v>40.299999999999997</v>
      </c>
      <c r="AC139" s="28">
        <v>2.33</v>
      </c>
      <c r="AD139" s="28">
        <v>23.1</v>
      </c>
      <c r="AE139" s="28">
        <v>59.9</v>
      </c>
      <c r="AF139" s="28">
        <v>14.7</v>
      </c>
      <c r="AG139" s="28">
        <v>11.1</v>
      </c>
      <c r="AH139" s="28">
        <v>4.6500000000000004</v>
      </c>
      <c r="AI139" s="28">
        <v>19.8</v>
      </c>
      <c r="AJ139" s="28">
        <v>57.8</v>
      </c>
      <c r="AK139" s="28">
        <v>14.7</v>
      </c>
      <c r="AL139" s="28">
        <v>14</v>
      </c>
      <c r="AM139" s="28">
        <v>29.8</v>
      </c>
      <c r="AN139" s="28">
        <v>0.69</v>
      </c>
      <c r="AO139" s="28">
        <v>1.17</v>
      </c>
      <c r="AP139" s="28">
        <v>0.74</v>
      </c>
      <c r="AQ139" s="28">
        <v>1.08</v>
      </c>
      <c r="AR139" s="28">
        <v>65.400000000000006</v>
      </c>
      <c r="AS139" s="28">
        <v>33.200000000000003</v>
      </c>
      <c r="AT139" s="28">
        <v>1.36</v>
      </c>
      <c r="AU139" s="28">
        <v>79.2</v>
      </c>
      <c r="AV139" s="28">
        <v>19.399999999999999</v>
      </c>
      <c r="AW139" s="28">
        <v>33.9</v>
      </c>
      <c r="AX139" s="28">
        <v>3.64</v>
      </c>
      <c r="AY139" s="28">
        <v>45.8</v>
      </c>
      <c r="AZ139" s="28">
        <v>1.29</v>
      </c>
      <c r="BA139" s="28">
        <v>8.83</v>
      </c>
      <c r="BB139" s="28">
        <v>68.900000000000006</v>
      </c>
      <c r="BC139" s="28">
        <v>48.2</v>
      </c>
      <c r="BD139" s="28">
        <v>0.18</v>
      </c>
      <c r="BE139" s="28">
        <v>4.59</v>
      </c>
      <c r="BF139" s="28">
        <v>41.3</v>
      </c>
      <c r="BG139" s="28">
        <v>-60.2</v>
      </c>
      <c r="BH139" s="28">
        <v>192</v>
      </c>
      <c r="BI139" s="28">
        <v>340</v>
      </c>
      <c r="BJ139" s="28">
        <v>264</v>
      </c>
      <c r="BK139" s="28">
        <v>374</v>
      </c>
      <c r="BL139" s="28">
        <v>63.9</v>
      </c>
      <c r="BM139" s="28">
        <v>25.7</v>
      </c>
    </row>
    <row r="140" spans="1:65" x14ac:dyDescent="0.5">
      <c r="A140" s="44">
        <v>237</v>
      </c>
      <c r="B140" s="41">
        <v>7.04</v>
      </c>
      <c r="C140" s="41">
        <v>22.5</v>
      </c>
      <c r="D140" s="41">
        <v>1.24</v>
      </c>
      <c r="E140" s="41">
        <v>54.7</v>
      </c>
      <c r="F140" s="41">
        <v>21.5</v>
      </c>
      <c r="G140" s="41">
        <v>75.400000000000006</v>
      </c>
      <c r="H140" s="41">
        <v>3.76</v>
      </c>
      <c r="I140" s="41">
        <v>7.05</v>
      </c>
      <c r="J140" s="41">
        <v>2.73</v>
      </c>
      <c r="K140" s="41">
        <v>63.4</v>
      </c>
      <c r="L140" s="41">
        <v>46.8</v>
      </c>
      <c r="M140" s="41">
        <v>7.91</v>
      </c>
      <c r="N140" s="41">
        <v>45.6</v>
      </c>
      <c r="O140" s="41">
        <v>32.6</v>
      </c>
      <c r="P140" s="41">
        <v>11.9</v>
      </c>
      <c r="Q140" s="41">
        <v>39</v>
      </c>
      <c r="R140" s="41">
        <v>22</v>
      </c>
      <c r="S140" s="41">
        <v>29.7</v>
      </c>
      <c r="T140" s="41">
        <v>31.7</v>
      </c>
      <c r="U140" s="41">
        <v>16.600000000000001</v>
      </c>
      <c r="V140" s="41">
        <v>45.5</v>
      </c>
      <c r="W140" s="41">
        <v>6.52</v>
      </c>
      <c r="X140" s="41">
        <v>30.8</v>
      </c>
      <c r="Y140" s="41">
        <v>10</v>
      </c>
      <c r="Z140" s="41">
        <v>46.8</v>
      </c>
      <c r="AA140" s="41">
        <v>12.4</v>
      </c>
      <c r="AB140" s="41">
        <v>15.2</v>
      </c>
      <c r="AC140" s="41">
        <v>2.72</v>
      </c>
      <c r="AD140" s="41">
        <v>16.899999999999999</v>
      </c>
      <c r="AE140" s="41">
        <v>25.8</v>
      </c>
      <c r="AF140" s="41">
        <v>54.5</v>
      </c>
      <c r="AG140" s="41">
        <v>15.4</v>
      </c>
      <c r="AH140" s="41">
        <v>3.01</v>
      </c>
      <c r="AI140" s="41">
        <v>14</v>
      </c>
      <c r="AJ140" s="41">
        <v>64.599999999999994</v>
      </c>
      <c r="AK140" s="41">
        <v>16.399999999999999</v>
      </c>
      <c r="AL140" s="41">
        <v>13.3</v>
      </c>
      <c r="AM140" s="41">
        <v>31.8</v>
      </c>
      <c r="AN140" s="41">
        <v>0.37</v>
      </c>
      <c r="AO140" s="41">
        <v>0.85</v>
      </c>
      <c r="AP140" s="41">
        <v>0.94</v>
      </c>
      <c r="AQ140" s="41">
        <v>0.8</v>
      </c>
      <c r="AR140" s="41">
        <v>68.599999999999994</v>
      </c>
      <c r="AS140" s="41">
        <v>30.3</v>
      </c>
      <c r="AT140" s="41">
        <v>1</v>
      </c>
      <c r="AU140" s="41">
        <v>90.1</v>
      </c>
      <c r="AV140" s="41">
        <v>9.09</v>
      </c>
      <c r="AW140" s="41">
        <v>34.799999999999997</v>
      </c>
      <c r="AX140" s="41">
        <v>2.3199999999999998</v>
      </c>
      <c r="AY140" s="41">
        <v>46.5</v>
      </c>
      <c r="AZ140" s="41">
        <v>0.15</v>
      </c>
      <c r="BA140" s="41">
        <v>2.35</v>
      </c>
      <c r="BB140" s="41">
        <v>20</v>
      </c>
      <c r="BC140" s="41">
        <v>40.799999999999997</v>
      </c>
      <c r="BD140" s="41">
        <v>0.32</v>
      </c>
      <c r="BE140" s="41">
        <v>3.39</v>
      </c>
      <c r="BF140" s="41">
        <v>4.53</v>
      </c>
      <c r="BG140" s="41">
        <v>-36.5</v>
      </c>
      <c r="BH140" s="41">
        <v>302</v>
      </c>
      <c r="BI140" s="41">
        <v>462</v>
      </c>
      <c r="BJ140" s="41">
        <v>335</v>
      </c>
      <c r="BK140" s="41">
        <v>657</v>
      </c>
      <c r="BL140" s="41">
        <v>389</v>
      </c>
      <c r="BM140" s="41">
        <v>17.5</v>
      </c>
    </row>
    <row r="141" spans="1:65" x14ac:dyDescent="0.5">
      <c r="A141" s="44">
        <v>238</v>
      </c>
      <c r="B141" s="28">
        <v>22.8</v>
      </c>
      <c r="C141" s="28">
        <v>1.1200000000000001</v>
      </c>
      <c r="D141" s="28">
        <v>8.8999999999999996E-2</v>
      </c>
      <c r="E141" s="28">
        <v>39.200000000000003</v>
      </c>
      <c r="F141" s="28">
        <v>59.6</v>
      </c>
      <c r="G141" s="28">
        <v>65.3</v>
      </c>
      <c r="H141" s="28">
        <v>5.7000000000000002E-2</v>
      </c>
      <c r="I141" s="28">
        <v>6.62</v>
      </c>
      <c r="J141" s="28">
        <v>14.9</v>
      </c>
      <c r="K141" s="28">
        <v>45.7</v>
      </c>
      <c r="L141" s="28">
        <v>29.6</v>
      </c>
      <c r="M141" s="28">
        <v>9.58</v>
      </c>
      <c r="N141" s="28">
        <v>45.9</v>
      </c>
      <c r="O141" s="28">
        <v>29.9</v>
      </c>
      <c r="P141" s="28">
        <v>12.9</v>
      </c>
      <c r="Q141" s="28">
        <v>35.1</v>
      </c>
      <c r="R141" s="28">
        <v>45.1</v>
      </c>
      <c r="S141" s="28">
        <v>14.2</v>
      </c>
      <c r="T141" s="28">
        <v>33</v>
      </c>
      <c r="U141" s="28">
        <v>7.77</v>
      </c>
      <c r="V141" s="28">
        <v>46.9</v>
      </c>
      <c r="W141" s="28">
        <v>8.42</v>
      </c>
      <c r="X141" s="28">
        <v>42.6</v>
      </c>
      <c r="Y141" s="28">
        <v>2.64</v>
      </c>
      <c r="Z141" s="28">
        <v>48.8</v>
      </c>
      <c r="AA141" s="28">
        <v>5.94</v>
      </c>
      <c r="AB141" s="28">
        <v>15.4</v>
      </c>
      <c r="AC141" s="28">
        <v>4.62</v>
      </c>
      <c r="AD141" s="28">
        <v>37.6</v>
      </c>
      <c r="AE141" s="28">
        <v>12.1</v>
      </c>
      <c r="AF141" s="28">
        <v>45.5</v>
      </c>
      <c r="AG141" s="28">
        <v>7.66</v>
      </c>
      <c r="AH141" s="28">
        <v>6.05</v>
      </c>
      <c r="AI141" s="28">
        <v>53.4</v>
      </c>
      <c r="AJ141" s="28">
        <v>34.799999999999997</v>
      </c>
      <c r="AK141" s="28">
        <v>2.37</v>
      </c>
      <c r="AL141" s="28">
        <v>15.3</v>
      </c>
      <c r="AM141" s="28">
        <v>21.1</v>
      </c>
      <c r="AN141" s="28">
        <v>1.01</v>
      </c>
      <c r="AO141" s="28">
        <v>3.07</v>
      </c>
      <c r="AP141" s="28">
        <v>1.85</v>
      </c>
      <c r="AQ141" s="28">
        <v>4.63</v>
      </c>
      <c r="AR141" s="28">
        <v>59.4</v>
      </c>
      <c r="AS141" s="28">
        <v>36.1</v>
      </c>
      <c r="AT141" s="28">
        <v>4.3600000000000003</v>
      </c>
      <c r="AU141" s="28">
        <v>71.7</v>
      </c>
      <c r="AV141" s="28">
        <v>22.4</v>
      </c>
      <c r="AW141" s="28">
        <v>45.7</v>
      </c>
      <c r="AX141" s="28">
        <v>2.83</v>
      </c>
      <c r="AY141" s="28">
        <v>39.299999999999997</v>
      </c>
      <c r="AZ141" s="28">
        <v>0.22</v>
      </c>
      <c r="BA141" s="28">
        <v>5.2</v>
      </c>
      <c r="BB141" s="28">
        <v>51.5</v>
      </c>
      <c r="BC141" s="28">
        <v>37</v>
      </c>
      <c r="BD141" s="28">
        <v>0.31</v>
      </c>
      <c r="BE141" s="28">
        <v>1.91</v>
      </c>
      <c r="BF141" s="28">
        <v>7.4</v>
      </c>
      <c r="BG141" s="28">
        <v>-57.4</v>
      </c>
      <c r="BH141" s="28">
        <v>180</v>
      </c>
      <c r="BI141" s="28">
        <v>318</v>
      </c>
      <c r="BJ141" s="28">
        <v>332</v>
      </c>
      <c r="BK141" s="28">
        <v>810</v>
      </c>
      <c r="BL141" s="28">
        <v>274</v>
      </c>
      <c r="BM141" s="28">
        <v>-12.9</v>
      </c>
    </row>
    <row r="142" spans="1:65" x14ac:dyDescent="0.5">
      <c r="A142" s="44">
        <v>239</v>
      </c>
      <c r="B142" s="28">
        <v>11.1</v>
      </c>
      <c r="C142" s="28">
        <v>9.8699999999999992</v>
      </c>
      <c r="D142" s="28">
        <v>0.23</v>
      </c>
      <c r="E142" s="28">
        <v>38</v>
      </c>
      <c r="F142" s="28">
        <v>51.9</v>
      </c>
      <c r="G142" s="28">
        <v>66</v>
      </c>
      <c r="H142" s="28">
        <v>5.8000000000000003E-2</v>
      </c>
      <c r="I142" s="28">
        <v>5.66</v>
      </c>
      <c r="J142" s="28">
        <v>6.9</v>
      </c>
      <c r="K142" s="28">
        <v>55.2</v>
      </c>
      <c r="L142" s="28">
        <v>36.299999999999997</v>
      </c>
      <c r="M142" s="28">
        <v>6.79</v>
      </c>
      <c r="N142" s="28">
        <v>56.1</v>
      </c>
      <c r="O142" s="28">
        <v>19.7</v>
      </c>
      <c r="P142" s="28">
        <v>14.8</v>
      </c>
      <c r="Q142" s="28">
        <v>28.6</v>
      </c>
      <c r="R142" s="28">
        <v>39.4</v>
      </c>
      <c r="S142" s="28">
        <v>10.3</v>
      </c>
      <c r="T142" s="28">
        <v>39.9</v>
      </c>
      <c r="U142" s="28">
        <v>10.4</v>
      </c>
      <c r="V142" s="28">
        <v>58.1</v>
      </c>
      <c r="W142" s="28">
        <v>6.84</v>
      </c>
      <c r="X142" s="28">
        <v>47.9</v>
      </c>
      <c r="Y142" s="28">
        <v>2.02</v>
      </c>
      <c r="Z142" s="28">
        <v>42.8</v>
      </c>
      <c r="AA142" s="28">
        <v>7.32</v>
      </c>
      <c r="AB142" s="28">
        <v>17.7</v>
      </c>
      <c r="AC142" s="28">
        <v>3.75</v>
      </c>
      <c r="AD142" s="28">
        <v>6.53</v>
      </c>
      <c r="AE142" s="28">
        <v>28.5</v>
      </c>
      <c r="AF142" s="28">
        <v>61</v>
      </c>
      <c r="AG142" s="28">
        <v>19.7</v>
      </c>
      <c r="AH142" s="28">
        <v>3.54</v>
      </c>
      <c r="AI142" s="28">
        <v>22.8</v>
      </c>
      <c r="AJ142" s="28">
        <v>56.2</v>
      </c>
      <c r="AK142" s="28">
        <v>9.7200000000000006</v>
      </c>
      <c r="AL142" s="28">
        <v>3.66</v>
      </c>
      <c r="AM142" s="28">
        <v>27.2</v>
      </c>
      <c r="AN142" s="28">
        <v>0.61</v>
      </c>
      <c r="AO142" s="28">
        <v>2.0499999999999998</v>
      </c>
      <c r="AP142" s="28">
        <v>4.3899999999999997</v>
      </c>
      <c r="AQ142" s="28">
        <v>5.72</v>
      </c>
      <c r="AR142" s="28">
        <v>91.2</v>
      </c>
      <c r="AS142" s="28">
        <v>6.47</v>
      </c>
      <c r="AT142" s="28">
        <v>2.25</v>
      </c>
      <c r="AU142" s="28">
        <v>87.4</v>
      </c>
      <c r="AV142" s="28">
        <v>4.6900000000000004</v>
      </c>
      <c r="AW142" s="28">
        <v>62.8</v>
      </c>
      <c r="AX142" s="28">
        <v>1.9</v>
      </c>
      <c r="AY142" s="28">
        <v>31.4</v>
      </c>
      <c r="AZ142" s="28">
        <v>0.52</v>
      </c>
      <c r="BA142" s="28">
        <v>4.12</v>
      </c>
      <c r="BB142" s="28">
        <v>36</v>
      </c>
      <c r="BC142" s="28">
        <v>79.599999999999994</v>
      </c>
      <c r="BD142" s="28">
        <v>0.13</v>
      </c>
      <c r="BE142" s="28">
        <v>1.68</v>
      </c>
      <c r="BF142" s="28">
        <v>7.58</v>
      </c>
      <c r="BG142" s="28">
        <v>51.6</v>
      </c>
      <c r="BH142" s="28">
        <v>563</v>
      </c>
      <c r="BI142" s="28">
        <v>519</v>
      </c>
      <c r="BJ142" s="28">
        <v>420</v>
      </c>
      <c r="BK142" s="28">
        <v>526</v>
      </c>
      <c r="BL142" s="28">
        <v>179</v>
      </c>
      <c r="BM142" s="28">
        <v>26.8</v>
      </c>
    </row>
    <row r="143" spans="1:65" x14ac:dyDescent="0.5">
      <c r="A143" s="44">
        <v>240</v>
      </c>
      <c r="B143" s="28">
        <v>27.4</v>
      </c>
      <c r="C143" s="28">
        <v>3.29</v>
      </c>
      <c r="D143" s="28">
        <v>0.11</v>
      </c>
      <c r="E143" s="28">
        <v>26.8</v>
      </c>
      <c r="F143" s="28">
        <v>69.8</v>
      </c>
      <c r="G143" s="28">
        <v>63.9</v>
      </c>
      <c r="H143" s="28">
        <v>6.9000000000000006E-2</v>
      </c>
      <c r="I143" s="28">
        <v>10.3</v>
      </c>
      <c r="J143" s="28">
        <v>8.7100000000000009</v>
      </c>
      <c r="K143" s="28">
        <v>48.5</v>
      </c>
      <c r="L143" s="28">
        <v>28.5</v>
      </c>
      <c r="M143" s="28">
        <v>5.3</v>
      </c>
      <c r="N143" s="28">
        <v>49.7</v>
      </c>
      <c r="O143" s="28">
        <v>30.9</v>
      </c>
      <c r="P143" s="28">
        <v>13.3</v>
      </c>
      <c r="Q143" s="28">
        <v>37.299999999999997</v>
      </c>
      <c r="R143" s="28">
        <v>35.4</v>
      </c>
      <c r="S143" s="28">
        <v>16.100000000000001</v>
      </c>
      <c r="T143" s="28">
        <v>32.5</v>
      </c>
      <c r="U143" s="28">
        <v>16</v>
      </c>
      <c r="V143" s="28">
        <v>49.9</v>
      </c>
      <c r="W143" s="28">
        <v>6.68</v>
      </c>
      <c r="X143" s="28">
        <v>29.3</v>
      </c>
      <c r="Y143" s="28">
        <v>9</v>
      </c>
      <c r="Z143" s="28">
        <v>43.4</v>
      </c>
      <c r="AA143" s="28">
        <v>18.3</v>
      </c>
      <c r="AB143" s="28">
        <v>19</v>
      </c>
      <c r="AC143" s="28">
        <v>5.12</v>
      </c>
      <c r="AD143" s="28">
        <v>12.9</v>
      </c>
      <c r="AE143" s="28">
        <v>9.2799999999999994</v>
      </c>
      <c r="AF143" s="28">
        <v>72.7</v>
      </c>
      <c r="AG143" s="28">
        <v>5.77</v>
      </c>
      <c r="AH143" s="28">
        <v>7.25</v>
      </c>
      <c r="AI143" s="28">
        <v>36.700000000000003</v>
      </c>
      <c r="AJ143" s="28">
        <v>46.6</v>
      </c>
      <c r="AK143" s="28">
        <v>3.43</v>
      </c>
      <c r="AL143" s="28">
        <v>10.4</v>
      </c>
      <c r="AM143" s="28">
        <v>40.1</v>
      </c>
      <c r="AN143" s="28">
        <v>0.69</v>
      </c>
      <c r="AO143" s="28">
        <v>3.63</v>
      </c>
      <c r="AP143" s="28">
        <v>7.16</v>
      </c>
      <c r="AQ143" s="28">
        <v>3.69</v>
      </c>
      <c r="AR143" s="28">
        <v>77.8</v>
      </c>
      <c r="AS143" s="28">
        <v>17.8</v>
      </c>
      <c r="AT143" s="28">
        <v>4.2699999999999996</v>
      </c>
      <c r="AU143" s="28">
        <v>81.2</v>
      </c>
      <c r="AV143" s="28">
        <v>8.2799999999999994</v>
      </c>
      <c r="AW143" s="28">
        <v>43.2</v>
      </c>
      <c r="AX143" s="28">
        <v>2.52</v>
      </c>
      <c r="AY143" s="28">
        <v>51.3</v>
      </c>
      <c r="AZ143" s="28">
        <v>0.45</v>
      </c>
      <c r="BA143" s="28">
        <v>4.58</v>
      </c>
      <c r="BB143" s="28">
        <v>39.4</v>
      </c>
      <c r="BC143" s="28">
        <v>44.8</v>
      </c>
      <c r="BD143" s="28">
        <v>0.46</v>
      </c>
      <c r="BE143" s="28">
        <v>2.2000000000000002</v>
      </c>
      <c r="BF143" s="28">
        <v>13.6</v>
      </c>
      <c r="BG143" s="28">
        <v>-24.3</v>
      </c>
      <c r="BH143" s="28">
        <v>445</v>
      </c>
      <c r="BI143" s="28">
        <v>519</v>
      </c>
      <c r="BJ143" s="28">
        <v>392</v>
      </c>
      <c r="BK143" s="28">
        <v>823</v>
      </c>
      <c r="BL143" s="28">
        <v>279</v>
      </c>
      <c r="BM143" s="28">
        <v>-71.5</v>
      </c>
    </row>
    <row r="144" spans="1:65" x14ac:dyDescent="0.5">
      <c r="A144" s="44">
        <v>241</v>
      </c>
      <c r="B144" s="30">
        <v>27.9</v>
      </c>
      <c r="C144" s="30">
        <v>1.68</v>
      </c>
      <c r="D144" s="30">
        <v>0.72</v>
      </c>
      <c r="E144" s="30">
        <v>19.5</v>
      </c>
      <c r="F144" s="30">
        <v>78.2</v>
      </c>
      <c r="G144" s="30">
        <v>46.6</v>
      </c>
      <c r="H144" s="30">
        <v>1.7999999999999999E-2</v>
      </c>
      <c r="I144" s="30">
        <v>1.64</v>
      </c>
      <c r="J144" s="30">
        <v>2.59</v>
      </c>
      <c r="K144" s="30">
        <v>43.1</v>
      </c>
      <c r="L144" s="30">
        <v>32.9</v>
      </c>
      <c r="M144" s="30">
        <v>3.25</v>
      </c>
      <c r="N144" s="30">
        <v>67</v>
      </c>
      <c r="O144" s="30">
        <v>17.100000000000001</v>
      </c>
      <c r="P144" s="30">
        <v>11.6</v>
      </c>
      <c r="Q144" s="30">
        <v>24.4</v>
      </c>
      <c r="R144" s="30">
        <v>48</v>
      </c>
      <c r="S144" s="30">
        <v>15.3</v>
      </c>
      <c r="T144" s="30">
        <v>15.9</v>
      </c>
      <c r="U144" s="30">
        <v>20.8</v>
      </c>
      <c r="V144" s="30">
        <v>32.299999999999997</v>
      </c>
      <c r="W144" s="30">
        <v>3.9</v>
      </c>
      <c r="X144" s="30">
        <v>28.5</v>
      </c>
      <c r="Y144" s="30">
        <v>12.7</v>
      </c>
      <c r="Z144" s="30">
        <v>18.899999999999999</v>
      </c>
      <c r="AA144" s="30">
        <v>39.9</v>
      </c>
      <c r="AB144" s="30">
        <v>8.9700000000000006</v>
      </c>
      <c r="AC144" s="30">
        <v>2.82</v>
      </c>
      <c r="AD144" s="30">
        <v>11.4</v>
      </c>
      <c r="AE144" s="30">
        <v>65.599999999999994</v>
      </c>
      <c r="AF144" s="30">
        <v>18.600000000000001</v>
      </c>
      <c r="AG144" s="30">
        <v>7.27</v>
      </c>
      <c r="AH144" s="30">
        <v>7.4</v>
      </c>
      <c r="AI144" s="30">
        <v>26.4</v>
      </c>
      <c r="AJ144" s="30">
        <v>53.9</v>
      </c>
      <c r="AK144" s="30">
        <v>7.74</v>
      </c>
      <c r="AL144" s="30">
        <v>8.5</v>
      </c>
      <c r="AM144" s="30">
        <v>6.56</v>
      </c>
      <c r="AN144" s="30">
        <v>0.28999999999999998</v>
      </c>
      <c r="AO144" s="30">
        <v>0.19</v>
      </c>
      <c r="AP144" s="30">
        <v>1.33</v>
      </c>
      <c r="AQ144" s="30">
        <v>0.1</v>
      </c>
      <c r="AR144" s="30">
        <v>67.5</v>
      </c>
      <c r="AS144" s="30">
        <v>31.3</v>
      </c>
      <c r="AT144" s="30">
        <v>0.18</v>
      </c>
      <c r="AU144" s="30">
        <v>76.2</v>
      </c>
      <c r="AV144" s="30">
        <v>22.8</v>
      </c>
      <c r="AW144" s="30">
        <v>53.4</v>
      </c>
      <c r="AX144" s="30">
        <v>4.5</v>
      </c>
      <c r="AY144" s="30">
        <v>18.5</v>
      </c>
      <c r="AZ144" s="30">
        <v>1.55</v>
      </c>
      <c r="BA144" s="30">
        <v>11.4</v>
      </c>
      <c r="BB144" s="30">
        <v>52.1</v>
      </c>
      <c r="BC144" s="30">
        <v>88.4</v>
      </c>
      <c r="BD144" s="30">
        <v>1.81</v>
      </c>
      <c r="BE144" s="30">
        <v>4.8499999999999996</v>
      </c>
      <c r="BF144" s="30">
        <v>15</v>
      </c>
      <c r="BG144" s="30">
        <v>-29.7</v>
      </c>
      <c r="BH144" s="30">
        <v>145</v>
      </c>
      <c r="BI144" s="30">
        <v>231</v>
      </c>
      <c r="BJ144" s="30">
        <v>239</v>
      </c>
      <c r="BK144" s="30">
        <v>314</v>
      </c>
      <c r="BL144" s="30">
        <v>58.3</v>
      </c>
      <c r="BM144" s="30">
        <v>-23.9</v>
      </c>
    </row>
    <row r="145" spans="1:65" x14ac:dyDescent="0.5">
      <c r="A145" s="44">
        <v>242</v>
      </c>
      <c r="B145" s="28">
        <v>2.33</v>
      </c>
      <c r="C145" s="28">
        <v>9.68</v>
      </c>
      <c r="D145" s="28">
        <v>0.03</v>
      </c>
      <c r="E145" s="28">
        <v>49.2</v>
      </c>
      <c r="F145" s="28">
        <v>41.1</v>
      </c>
      <c r="G145" s="28">
        <v>87.3</v>
      </c>
      <c r="H145" s="28">
        <v>0.18</v>
      </c>
      <c r="I145" s="28">
        <v>6.09</v>
      </c>
      <c r="J145" s="28">
        <v>7.97</v>
      </c>
      <c r="K145" s="28">
        <v>73.8</v>
      </c>
      <c r="L145" s="28">
        <v>40.5</v>
      </c>
      <c r="M145" s="28">
        <v>5.94</v>
      </c>
      <c r="N145" s="28">
        <v>37.700000000000003</v>
      </c>
      <c r="O145" s="28">
        <v>29.9</v>
      </c>
      <c r="P145" s="28">
        <v>26.2</v>
      </c>
      <c r="Q145" s="28">
        <v>46.5</v>
      </c>
      <c r="R145" s="28">
        <v>33.700000000000003</v>
      </c>
      <c r="S145" s="28">
        <v>17.899999999999999</v>
      </c>
      <c r="T145" s="28">
        <v>34.700000000000003</v>
      </c>
      <c r="U145" s="28">
        <v>13.8</v>
      </c>
      <c r="V145" s="28">
        <v>37.5</v>
      </c>
      <c r="W145" s="28">
        <v>9.25</v>
      </c>
      <c r="X145" s="28">
        <v>48.7</v>
      </c>
      <c r="Y145" s="28">
        <v>3.22</v>
      </c>
      <c r="Z145" s="28">
        <v>37.6</v>
      </c>
      <c r="AA145" s="28">
        <v>10.5</v>
      </c>
      <c r="AB145" s="28">
        <v>32.299999999999997</v>
      </c>
      <c r="AC145" s="28">
        <v>2.89</v>
      </c>
      <c r="AD145" s="28">
        <v>12.9</v>
      </c>
      <c r="AE145" s="28">
        <v>56.4</v>
      </c>
      <c r="AF145" s="28">
        <v>27.9</v>
      </c>
      <c r="AG145" s="28">
        <v>6.34</v>
      </c>
      <c r="AH145" s="28">
        <v>3.18</v>
      </c>
      <c r="AI145" s="28">
        <v>24.9</v>
      </c>
      <c r="AJ145" s="28">
        <v>57.7</v>
      </c>
      <c r="AK145" s="28">
        <v>6.6</v>
      </c>
      <c r="AL145" s="28">
        <v>9.85</v>
      </c>
      <c r="AM145" s="28">
        <v>9.77</v>
      </c>
      <c r="AN145" s="28">
        <v>1.32</v>
      </c>
      <c r="AO145" s="28">
        <v>0.78</v>
      </c>
      <c r="AP145" s="28">
        <v>26.3</v>
      </c>
      <c r="AQ145" s="28">
        <v>3.3</v>
      </c>
      <c r="AR145" s="28">
        <v>84</v>
      </c>
      <c r="AS145" s="28">
        <v>14</v>
      </c>
      <c r="AT145" s="28">
        <v>1.92</v>
      </c>
      <c r="AU145" s="28">
        <v>58.2</v>
      </c>
      <c r="AV145" s="28">
        <v>13.8</v>
      </c>
      <c r="AW145" s="28">
        <v>70.400000000000006</v>
      </c>
      <c r="AX145" s="28">
        <v>2.2799999999999998</v>
      </c>
      <c r="AY145" s="28">
        <v>20</v>
      </c>
      <c r="AZ145" s="28">
        <v>1.02</v>
      </c>
      <c r="BA145" s="28">
        <v>5.26</v>
      </c>
      <c r="BB145" s="28">
        <v>48.2</v>
      </c>
      <c r="BC145" s="28">
        <v>80.3</v>
      </c>
      <c r="BD145" s="28">
        <v>0.14000000000000001</v>
      </c>
      <c r="BE145" s="28">
        <v>1.41</v>
      </c>
      <c r="BF145" s="28">
        <v>14.8</v>
      </c>
      <c r="BG145" s="28">
        <v>38</v>
      </c>
      <c r="BH145" s="28">
        <v>413</v>
      </c>
      <c r="BI145" s="28">
        <v>427</v>
      </c>
      <c r="BJ145" s="28">
        <v>311</v>
      </c>
      <c r="BK145" s="28">
        <v>429</v>
      </c>
      <c r="BL145" s="28">
        <v>84.1</v>
      </c>
      <c r="BM145" s="28">
        <v>-2.34</v>
      </c>
    </row>
    <row r="146" spans="1:65" x14ac:dyDescent="0.5">
      <c r="A146" s="44">
        <v>243</v>
      </c>
      <c r="B146" s="30">
        <v>8.17</v>
      </c>
      <c r="C146" s="30">
        <v>8.93</v>
      </c>
      <c r="D146" s="30">
        <v>0.31</v>
      </c>
      <c r="E146" s="30">
        <v>30.6</v>
      </c>
      <c r="F146" s="30">
        <v>60</v>
      </c>
      <c r="G146" s="30">
        <v>70.400000000000006</v>
      </c>
      <c r="H146" s="30">
        <v>0.13</v>
      </c>
      <c r="I146" s="30">
        <v>1.02</v>
      </c>
      <c r="J146" s="30">
        <v>2.5299999999999998</v>
      </c>
      <c r="K146" s="30">
        <v>67</v>
      </c>
      <c r="L146" s="30">
        <v>37.200000000000003</v>
      </c>
      <c r="M146" s="30">
        <v>2.48</v>
      </c>
      <c r="N146" s="30">
        <v>43.9</v>
      </c>
      <c r="O146" s="30">
        <v>24.1</v>
      </c>
      <c r="P146" s="30">
        <v>25.5</v>
      </c>
      <c r="Q146" s="30">
        <v>45.5</v>
      </c>
      <c r="R146" s="30">
        <v>31.6</v>
      </c>
      <c r="S146" s="30">
        <v>12.7</v>
      </c>
      <c r="T146" s="30">
        <v>48.7</v>
      </c>
      <c r="U146" s="30">
        <v>7.07</v>
      </c>
      <c r="V146" s="30">
        <v>43.2</v>
      </c>
      <c r="W146" s="30">
        <v>7.35</v>
      </c>
      <c r="X146" s="30">
        <v>36.9</v>
      </c>
      <c r="Y146" s="30">
        <v>6.94</v>
      </c>
      <c r="Z146" s="30">
        <v>39.6</v>
      </c>
      <c r="AA146" s="30">
        <v>16.5</v>
      </c>
      <c r="AB146" s="30">
        <v>27.7</v>
      </c>
      <c r="AC146" s="30">
        <v>3.18</v>
      </c>
      <c r="AD146" s="30">
        <v>15.9</v>
      </c>
      <c r="AE146" s="30">
        <v>68.8</v>
      </c>
      <c r="AF146" s="30">
        <v>10.6</v>
      </c>
      <c r="AG146" s="30">
        <v>19.399999999999999</v>
      </c>
      <c r="AH146" s="30">
        <v>11.1</v>
      </c>
      <c r="AI146" s="30">
        <v>33.9</v>
      </c>
      <c r="AJ146" s="30">
        <v>46.6</v>
      </c>
      <c r="AK146" s="30">
        <v>5.47</v>
      </c>
      <c r="AL146" s="30">
        <v>14.9</v>
      </c>
      <c r="AM146" s="30">
        <v>12.1</v>
      </c>
      <c r="AN146" s="30">
        <v>0.42</v>
      </c>
      <c r="AO146" s="30">
        <v>1.1000000000000001</v>
      </c>
      <c r="AP146" s="30">
        <v>2.25</v>
      </c>
      <c r="AQ146" s="30">
        <v>1.0900000000000001</v>
      </c>
      <c r="AR146" s="30">
        <v>68.099999999999994</v>
      </c>
      <c r="AS146" s="30">
        <v>30.4</v>
      </c>
      <c r="AT146" s="30">
        <v>1.46</v>
      </c>
      <c r="AU146" s="30">
        <v>76.099999999999994</v>
      </c>
      <c r="AV146" s="30">
        <v>22.5</v>
      </c>
      <c r="AW146" s="30">
        <v>66.900000000000006</v>
      </c>
      <c r="AX146" s="30">
        <v>4.0599999999999996</v>
      </c>
      <c r="AY146" s="30">
        <v>27.9</v>
      </c>
      <c r="AZ146" s="30">
        <v>3.08</v>
      </c>
      <c r="BA146" s="30">
        <v>13.8</v>
      </c>
      <c r="BB146" s="30">
        <v>76.5</v>
      </c>
      <c r="BC146" s="30">
        <v>88.7</v>
      </c>
      <c r="BD146" s="30">
        <v>3.16</v>
      </c>
      <c r="BE146" s="30">
        <v>4.6100000000000003</v>
      </c>
      <c r="BF146" s="30">
        <v>24.8</v>
      </c>
      <c r="BG146" s="30">
        <v>-67.3</v>
      </c>
      <c r="BH146" s="30">
        <v>243</v>
      </c>
      <c r="BI146" s="30">
        <v>212</v>
      </c>
      <c r="BJ146" s="30">
        <v>230</v>
      </c>
      <c r="BK146" s="30">
        <v>367</v>
      </c>
      <c r="BL146" s="30">
        <v>134</v>
      </c>
      <c r="BM146" s="30">
        <v>-11.2</v>
      </c>
    </row>
    <row r="147" spans="1:65" x14ac:dyDescent="0.5">
      <c r="A147" s="44">
        <v>244</v>
      </c>
      <c r="B147" s="28">
        <v>8.27</v>
      </c>
      <c r="C147" s="28">
        <v>6.41</v>
      </c>
      <c r="D147" s="28">
        <v>1.46</v>
      </c>
      <c r="E147" s="28">
        <v>55.7</v>
      </c>
      <c r="F147" s="28">
        <v>36.4</v>
      </c>
      <c r="G147" s="28">
        <v>75.400000000000006</v>
      </c>
      <c r="H147" s="28">
        <v>6.4000000000000001E-2</v>
      </c>
      <c r="I147" s="28">
        <v>3.71</v>
      </c>
      <c r="J147" s="28">
        <v>12.1</v>
      </c>
      <c r="K147" s="28">
        <v>60.4</v>
      </c>
      <c r="L147" s="28">
        <v>37.6</v>
      </c>
      <c r="M147" s="28">
        <v>6.01</v>
      </c>
      <c r="N147" s="28">
        <v>36.6</v>
      </c>
      <c r="O147" s="28">
        <v>41.4</v>
      </c>
      <c r="P147" s="28">
        <v>14</v>
      </c>
      <c r="Q147" s="28">
        <v>37.9</v>
      </c>
      <c r="R147" s="28">
        <v>40.700000000000003</v>
      </c>
      <c r="S147" s="28">
        <v>0.77</v>
      </c>
      <c r="T147" s="28">
        <v>57.6</v>
      </c>
      <c r="U147" s="28">
        <v>0.98</v>
      </c>
      <c r="V147" s="28">
        <v>37.6</v>
      </c>
      <c r="W147" s="28">
        <v>18.3</v>
      </c>
      <c r="X147" s="28">
        <v>52.6</v>
      </c>
      <c r="Y147" s="28">
        <v>0.52</v>
      </c>
      <c r="Z147" s="28">
        <v>46</v>
      </c>
      <c r="AA147" s="28">
        <v>0.91</v>
      </c>
      <c r="AB147" s="28">
        <v>21.1</v>
      </c>
      <c r="AC147" s="28">
        <v>7.08</v>
      </c>
      <c r="AD147" s="28">
        <v>13.5</v>
      </c>
      <c r="AE147" s="28">
        <v>14.3</v>
      </c>
      <c r="AF147" s="28">
        <v>65</v>
      </c>
      <c r="AG147" s="28">
        <v>17.3</v>
      </c>
      <c r="AH147" s="28">
        <v>10.3</v>
      </c>
      <c r="AI147" s="28">
        <v>18.3</v>
      </c>
      <c r="AJ147" s="28">
        <v>61.8</v>
      </c>
      <c r="AK147" s="28">
        <v>5.84</v>
      </c>
      <c r="AL147" s="28">
        <v>15.9</v>
      </c>
      <c r="AM147" s="28">
        <v>14.9</v>
      </c>
      <c r="AN147" s="28">
        <v>1.01</v>
      </c>
      <c r="AO147" s="28">
        <v>1.2</v>
      </c>
      <c r="AP147" s="28">
        <v>3.56</v>
      </c>
      <c r="AQ147" s="28">
        <v>10.7</v>
      </c>
      <c r="AR147" s="28">
        <v>88.1</v>
      </c>
      <c r="AS147" s="28">
        <v>10</v>
      </c>
      <c r="AT147" s="28">
        <v>1.66</v>
      </c>
      <c r="AU147" s="28">
        <v>82.9</v>
      </c>
      <c r="AV147" s="28">
        <v>3.41</v>
      </c>
      <c r="AW147" s="28">
        <v>57.4</v>
      </c>
      <c r="AX147" s="28">
        <v>7.77</v>
      </c>
      <c r="AY147" s="28">
        <v>31.2</v>
      </c>
      <c r="AZ147" s="28">
        <v>0.63</v>
      </c>
      <c r="BA147" s="28">
        <v>8.5</v>
      </c>
      <c r="BB147" s="28">
        <v>50.8</v>
      </c>
      <c r="BC147" s="28">
        <v>52.1</v>
      </c>
      <c r="BD147" s="28">
        <v>0.28999999999999998</v>
      </c>
      <c r="BE147" s="28">
        <v>1.31</v>
      </c>
      <c r="BF147" s="28">
        <v>3.94</v>
      </c>
      <c r="BG147" s="28">
        <v>33.9</v>
      </c>
      <c r="BH147" s="28">
        <v>353</v>
      </c>
      <c r="BI147" s="28">
        <v>396</v>
      </c>
      <c r="BJ147" s="28">
        <v>367</v>
      </c>
      <c r="BK147" s="28">
        <v>499</v>
      </c>
      <c r="BL147" s="28">
        <v>214</v>
      </c>
      <c r="BM147" s="28">
        <v>-1.08</v>
      </c>
    </row>
    <row r="148" spans="1:65" x14ac:dyDescent="0.5">
      <c r="A148" s="44">
        <v>245</v>
      </c>
      <c r="B148" s="42">
        <v>4.5199999999999996</v>
      </c>
      <c r="C148" s="42">
        <v>8.16</v>
      </c>
      <c r="D148" s="28">
        <v>0.14000000000000057</v>
      </c>
      <c r="E148" s="42">
        <v>55</v>
      </c>
      <c r="F148" s="42">
        <v>36.700000000000003</v>
      </c>
      <c r="G148" s="42">
        <v>85.1</v>
      </c>
      <c r="H148" s="42">
        <v>3.4000000000000002E-2</v>
      </c>
      <c r="I148" s="42">
        <v>2.31</v>
      </c>
      <c r="J148" s="42">
        <v>2.35</v>
      </c>
      <c r="K148" s="42">
        <v>80.3</v>
      </c>
      <c r="L148" s="42">
        <v>43</v>
      </c>
      <c r="M148" s="42">
        <v>4.17</v>
      </c>
      <c r="N148" s="42">
        <v>46.4</v>
      </c>
      <c r="O148" s="42">
        <v>33.200000000000003</v>
      </c>
      <c r="P148" s="42">
        <v>13.1</v>
      </c>
      <c r="Q148" s="42">
        <v>42.2</v>
      </c>
      <c r="R148" s="42">
        <v>20.7</v>
      </c>
      <c r="S148" s="42">
        <v>27.4</v>
      </c>
      <c r="T148" s="42">
        <v>34.9</v>
      </c>
      <c r="U148" s="42">
        <v>17</v>
      </c>
      <c r="V148" s="42">
        <v>46.4</v>
      </c>
      <c r="W148" s="42">
        <v>6.73</v>
      </c>
      <c r="X148" s="42">
        <v>18.399999999999999</v>
      </c>
      <c r="Y148" s="42">
        <v>15.9</v>
      </c>
      <c r="Z148" s="42">
        <v>44.5</v>
      </c>
      <c r="AA148" s="42">
        <v>21.2</v>
      </c>
      <c r="AB148" s="42">
        <v>36.1</v>
      </c>
      <c r="AC148" s="42">
        <v>10.3</v>
      </c>
      <c r="AD148" s="42">
        <v>24.3</v>
      </c>
      <c r="AE148" s="42">
        <v>27.6</v>
      </c>
      <c r="AF148" s="42">
        <v>37.799999999999997</v>
      </c>
      <c r="AG148" s="42">
        <v>8.8000000000000007</v>
      </c>
      <c r="AH148" s="42">
        <v>2.04</v>
      </c>
      <c r="AI148" s="42">
        <v>30</v>
      </c>
      <c r="AJ148" s="42">
        <v>65.8</v>
      </c>
      <c r="AK148" s="42">
        <v>1.86</v>
      </c>
      <c r="AL148" s="42">
        <v>17.100000000000001</v>
      </c>
      <c r="AM148" s="42">
        <v>28.5</v>
      </c>
      <c r="AN148" s="42">
        <v>1.94</v>
      </c>
      <c r="AO148" s="42">
        <v>2.2799999999999998</v>
      </c>
      <c r="AP148" s="42">
        <v>4.96</v>
      </c>
      <c r="AQ148" s="42">
        <v>24.1</v>
      </c>
      <c r="AR148" s="42">
        <v>55.7</v>
      </c>
      <c r="AS148" s="42">
        <v>41.2</v>
      </c>
      <c r="AT148" s="42">
        <v>2.96</v>
      </c>
      <c r="AU148" s="42">
        <v>46.6</v>
      </c>
      <c r="AV148" s="42">
        <v>27.1</v>
      </c>
      <c r="AW148" s="42">
        <v>33.200000000000003</v>
      </c>
      <c r="AX148" s="28"/>
      <c r="AY148" s="42">
        <v>46.9</v>
      </c>
      <c r="AZ148" s="42">
        <v>1.28</v>
      </c>
      <c r="BA148" s="42">
        <v>8.2200000000000006</v>
      </c>
      <c r="BB148" s="42">
        <v>21.2</v>
      </c>
      <c r="BC148" s="42">
        <v>65.900000000000006</v>
      </c>
      <c r="BD148" s="42">
        <v>0.25</v>
      </c>
      <c r="BE148" s="42">
        <v>4.46</v>
      </c>
      <c r="BF148" s="42">
        <v>15.7</v>
      </c>
      <c r="BG148" s="42">
        <v>-53.2</v>
      </c>
      <c r="BH148" s="42">
        <v>423</v>
      </c>
      <c r="BI148" s="42">
        <v>618</v>
      </c>
      <c r="BJ148" s="42">
        <v>307</v>
      </c>
      <c r="BK148" s="42">
        <v>597</v>
      </c>
      <c r="BL148" s="42">
        <v>248</v>
      </c>
      <c r="BM148" s="42">
        <v>32.299999999999997</v>
      </c>
    </row>
    <row r="149" spans="1:65" x14ac:dyDescent="0.5">
      <c r="A149" s="44">
        <v>246</v>
      </c>
      <c r="B149" s="42">
        <v>11.9</v>
      </c>
      <c r="C149" s="42">
        <v>3.18</v>
      </c>
      <c r="D149" s="28">
        <v>1.9999999999996021E-2</v>
      </c>
      <c r="E149" s="42">
        <v>56.2</v>
      </c>
      <c r="F149" s="42">
        <v>40.6</v>
      </c>
      <c r="G149" s="42">
        <v>78.400000000000006</v>
      </c>
      <c r="H149" s="42">
        <v>3.5000000000000003E-2</v>
      </c>
      <c r="I149" s="42">
        <v>0.6</v>
      </c>
      <c r="J149" s="42">
        <v>4</v>
      </c>
      <c r="K149" s="42">
        <v>73.8</v>
      </c>
      <c r="L149" s="42">
        <v>37.299999999999997</v>
      </c>
      <c r="M149" s="42">
        <v>5.5</v>
      </c>
      <c r="N149" s="42">
        <v>60.3</v>
      </c>
      <c r="O149" s="42">
        <v>20.5</v>
      </c>
      <c r="P149" s="42">
        <v>10.5</v>
      </c>
      <c r="Q149" s="42">
        <v>28.1</v>
      </c>
      <c r="R149" s="42">
        <v>25.4</v>
      </c>
      <c r="S149" s="42">
        <v>12</v>
      </c>
      <c r="T149" s="42">
        <v>52.9</v>
      </c>
      <c r="U149" s="42">
        <v>9.7100000000000009</v>
      </c>
      <c r="V149" s="42">
        <v>60.3</v>
      </c>
      <c r="W149" s="42">
        <v>5.2</v>
      </c>
      <c r="X149" s="42">
        <v>27.5</v>
      </c>
      <c r="Y149" s="42">
        <v>8.36</v>
      </c>
      <c r="Z149" s="42">
        <v>46.4</v>
      </c>
      <c r="AA149" s="42">
        <v>17.8</v>
      </c>
      <c r="AB149" s="42">
        <v>35.200000000000003</v>
      </c>
      <c r="AC149" s="42">
        <v>5.51</v>
      </c>
      <c r="AD149" s="42">
        <v>38.4</v>
      </c>
      <c r="AE149" s="42">
        <v>25.9</v>
      </c>
      <c r="AF149" s="42">
        <v>30.2</v>
      </c>
      <c r="AG149" s="42">
        <v>4.4800000000000004</v>
      </c>
      <c r="AH149" s="42">
        <v>4.0599999999999996</v>
      </c>
      <c r="AI149" s="42">
        <v>14.1</v>
      </c>
      <c r="AJ149" s="42">
        <v>74.099999999999994</v>
      </c>
      <c r="AK149" s="42">
        <v>7.17</v>
      </c>
      <c r="AL149" s="42">
        <v>14.6</v>
      </c>
      <c r="AM149" s="42">
        <v>17</v>
      </c>
      <c r="AN149" s="42">
        <v>2.16</v>
      </c>
      <c r="AO149" s="42">
        <v>0.85</v>
      </c>
      <c r="AP149" s="42">
        <v>3.91</v>
      </c>
      <c r="AQ149" s="42">
        <v>5.77</v>
      </c>
      <c r="AR149" s="42">
        <v>35.6</v>
      </c>
      <c r="AS149" s="42">
        <v>63.2</v>
      </c>
      <c r="AT149" s="42">
        <v>1.26</v>
      </c>
      <c r="AU149" s="42">
        <v>63.1</v>
      </c>
      <c r="AV149" s="42">
        <v>30.9</v>
      </c>
      <c r="AW149" s="42">
        <v>43.6</v>
      </c>
      <c r="AX149" s="28"/>
      <c r="AY149" s="42">
        <v>31.8</v>
      </c>
      <c r="AZ149" s="42">
        <v>0.84</v>
      </c>
      <c r="BA149" s="42">
        <v>7.95</v>
      </c>
      <c r="BB149" s="42">
        <v>29</v>
      </c>
      <c r="BC149" s="42">
        <v>48.4</v>
      </c>
      <c r="BD149" s="42">
        <v>0.11</v>
      </c>
      <c r="BE149" s="42">
        <v>2.8</v>
      </c>
      <c r="BF149" s="42">
        <v>9.5500000000000007</v>
      </c>
      <c r="BG149" s="42">
        <v>-13.1</v>
      </c>
      <c r="BH149" s="42">
        <v>602</v>
      </c>
      <c r="BI149" s="42">
        <v>744</v>
      </c>
      <c r="BJ149" s="42">
        <v>632</v>
      </c>
      <c r="BK149" s="42">
        <v>761</v>
      </c>
      <c r="BL149" s="42">
        <v>512</v>
      </c>
      <c r="BM149" s="42">
        <v>63.6</v>
      </c>
    </row>
    <row r="150" spans="1:65" x14ac:dyDescent="0.5">
      <c r="A150" s="44">
        <v>247</v>
      </c>
      <c r="B150" s="42">
        <v>17.7</v>
      </c>
      <c r="C150" s="42">
        <v>1.35</v>
      </c>
      <c r="D150" s="28">
        <v>0.01</v>
      </c>
      <c r="E150" s="42">
        <v>39.799999999999997</v>
      </c>
      <c r="F150" s="42">
        <v>58.9</v>
      </c>
      <c r="G150" s="42">
        <v>71.7</v>
      </c>
      <c r="H150" s="42">
        <v>1.9E-2</v>
      </c>
      <c r="I150" s="42">
        <v>2.19</v>
      </c>
      <c r="J150" s="42">
        <v>11.2</v>
      </c>
      <c r="K150" s="42">
        <v>58</v>
      </c>
      <c r="L150" s="42">
        <v>27.2</v>
      </c>
      <c r="M150" s="42">
        <v>7.92</v>
      </c>
      <c r="N150" s="42">
        <v>52.1</v>
      </c>
      <c r="O150" s="42">
        <v>20.9</v>
      </c>
      <c r="P150" s="42">
        <v>13.8</v>
      </c>
      <c r="Q150" s="42">
        <v>30.3</v>
      </c>
      <c r="R150" s="42">
        <v>59.8</v>
      </c>
      <c r="S150" s="42">
        <v>5.51</v>
      </c>
      <c r="T150" s="42">
        <v>25.7</v>
      </c>
      <c r="U150" s="42">
        <v>8.9499999999999993</v>
      </c>
      <c r="V150" s="42">
        <v>52.1</v>
      </c>
      <c r="W150" s="42">
        <v>7.26</v>
      </c>
      <c r="X150" s="42">
        <v>41</v>
      </c>
      <c r="Y150" s="42">
        <v>2.06</v>
      </c>
      <c r="Z150" s="42">
        <v>51.2</v>
      </c>
      <c r="AA150" s="42">
        <v>5.74</v>
      </c>
      <c r="AB150" s="42">
        <v>30.2</v>
      </c>
      <c r="AC150" s="42">
        <v>1.86</v>
      </c>
      <c r="AD150" s="42">
        <v>7.31</v>
      </c>
      <c r="AE150" s="42">
        <v>53</v>
      </c>
      <c r="AF150" s="42">
        <v>37.799999999999997</v>
      </c>
      <c r="AG150" s="42">
        <v>9.26</v>
      </c>
      <c r="AH150" s="42">
        <v>3.87</v>
      </c>
      <c r="AI150" s="42">
        <v>24.4</v>
      </c>
      <c r="AJ150" s="42">
        <v>58.9</v>
      </c>
      <c r="AK150" s="42">
        <v>11.8</v>
      </c>
      <c r="AL150" s="42">
        <v>19.2</v>
      </c>
      <c r="AM150" s="42">
        <v>28.6</v>
      </c>
      <c r="AN150" s="42">
        <v>1.32</v>
      </c>
      <c r="AO150" s="42">
        <v>1.73</v>
      </c>
      <c r="AP150" s="42">
        <v>3.66</v>
      </c>
      <c r="AQ150" s="42">
        <v>3.12</v>
      </c>
      <c r="AR150" s="42">
        <v>51.7</v>
      </c>
      <c r="AS150" s="42">
        <v>46.5</v>
      </c>
      <c r="AT150" s="42">
        <v>1.75</v>
      </c>
      <c r="AU150" s="42">
        <v>66.5</v>
      </c>
      <c r="AV150" s="42">
        <v>30.1</v>
      </c>
      <c r="AW150" s="42">
        <v>42.8</v>
      </c>
      <c r="AX150" s="28"/>
      <c r="AY150" s="42">
        <v>47.4</v>
      </c>
      <c r="AZ150" s="42">
        <v>1.1100000000000001</v>
      </c>
      <c r="BA150" s="42">
        <v>7.42</v>
      </c>
      <c r="BB150" s="42">
        <v>57.3</v>
      </c>
      <c r="BC150" s="42">
        <v>84.5</v>
      </c>
      <c r="BD150" s="42">
        <v>0.16</v>
      </c>
      <c r="BE150" s="42">
        <v>1.82</v>
      </c>
      <c r="BF150" s="42">
        <v>32.700000000000003</v>
      </c>
      <c r="BG150" s="42">
        <v>-19.5</v>
      </c>
      <c r="BH150" s="42">
        <v>440</v>
      </c>
      <c r="BI150" s="42">
        <v>630</v>
      </c>
      <c r="BJ150" s="42">
        <v>735</v>
      </c>
      <c r="BK150" s="42">
        <v>507</v>
      </c>
      <c r="BL150" s="42">
        <v>212</v>
      </c>
      <c r="BM150" s="42">
        <v>101</v>
      </c>
    </row>
    <row r="151" spans="1:65" x14ac:dyDescent="0.5">
      <c r="A151" s="44">
        <v>248</v>
      </c>
      <c r="B151" s="42">
        <v>11.8</v>
      </c>
      <c r="C151" s="42">
        <v>6.27</v>
      </c>
      <c r="D151" s="28">
        <v>3.0000000000001137E-2</v>
      </c>
      <c r="E151" s="42">
        <v>49.1</v>
      </c>
      <c r="F151" s="42">
        <v>44.6</v>
      </c>
      <c r="G151" s="42">
        <v>77.2</v>
      </c>
      <c r="H151" s="42">
        <v>1.2999999999999999E-2</v>
      </c>
      <c r="I151" s="42">
        <v>3.33</v>
      </c>
      <c r="J151" s="42">
        <v>2.0299999999999998</v>
      </c>
      <c r="K151" s="42">
        <v>71.599999999999994</v>
      </c>
      <c r="L151" s="42">
        <v>39.299999999999997</v>
      </c>
      <c r="M151" s="42">
        <v>4</v>
      </c>
      <c r="N151" s="42">
        <v>15</v>
      </c>
      <c r="O151" s="42">
        <v>53.8</v>
      </c>
      <c r="P151" s="42">
        <v>23.6</v>
      </c>
      <c r="Q151" s="42">
        <v>75.599999999999994</v>
      </c>
      <c r="R151" s="42">
        <v>67.900000000000006</v>
      </c>
      <c r="S151" s="42">
        <v>3.51</v>
      </c>
      <c r="T151" s="42">
        <v>11</v>
      </c>
      <c r="U151" s="42">
        <v>17.600000000000001</v>
      </c>
      <c r="V151" s="42">
        <v>15</v>
      </c>
      <c r="W151" s="42">
        <v>5.04</v>
      </c>
      <c r="X151" s="42">
        <v>51.9</v>
      </c>
      <c r="Y151" s="42">
        <v>2.46</v>
      </c>
      <c r="Z151" s="42">
        <v>37.200000000000003</v>
      </c>
      <c r="AA151" s="42">
        <v>8.4600000000000009</v>
      </c>
      <c r="AB151" s="42">
        <v>29.8</v>
      </c>
      <c r="AC151" s="42">
        <v>15.4</v>
      </c>
      <c r="AD151" s="42">
        <v>18.899999999999999</v>
      </c>
      <c r="AE151" s="42">
        <v>46.5</v>
      </c>
      <c r="AF151" s="42">
        <v>19.2</v>
      </c>
      <c r="AG151" s="42">
        <v>8.84</v>
      </c>
      <c r="AH151" s="42">
        <v>4.4000000000000004</v>
      </c>
      <c r="AI151" s="42">
        <v>41.3</v>
      </c>
      <c r="AJ151" s="42">
        <v>49.4</v>
      </c>
      <c r="AK151" s="42">
        <v>4.8</v>
      </c>
      <c r="AL151" s="42">
        <v>9.11</v>
      </c>
      <c r="AM151" s="42">
        <v>11.8</v>
      </c>
      <c r="AN151" s="42">
        <v>1.95</v>
      </c>
      <c r="AO151" s="42">
        <v>2.3199999999999998</v>
      </c>
      <c r="AP151" s="42">
        <v>2.93</v>
      </c>
      <c r="AQ151" s="42">
        <v>5.65</v>
      </c>
      <c r="AR151" s="42">
        <v>66.8</v>
      </c>
      <c r="AS151" s="42">
        <v>30</v>
      </c>
      <c r="AT151" s="42">
        <v>2.97</v>
      </c>
      <c r="AU151" s="42">
        <v>73.2</v>
      </c>
      <c r="AV151" s="42">
        <v>19.5</v>
      </c>
      <c r="AW151" s="42">
        <v>53.4</v>
      </c>
      <c r="AX151" s="28"/>
      <c r="AY151" s="42">
        <v>23.7</v>
      </c>
      <c r="AZ151" s="42">
        <v>3.29</v>
      </c>
      <c r="BA151" s="42">
        <v>5.23</v>
      </c>
      <c r="BB151" s="42">
        <v>46</v>
      </c>
      <c r="BC151" s="42">
        <v>90</v>
      </c>
      <c r="BD151" s="42">
        <v>0.15</v>
      </c>
      <c r="BE151" s="42">
        <v>1.72</v>
      </c>
      <c r="BF151" s="42">
        <v>6.96</v>
      </c>
      <c r="BG151" s="42">
        <v>24.5</v>
      </c>
      <c r="BH151" s="42">
        <v>373</v>
      </c>
      <c r="BI151" s="42">
        <v>333</v>
      </c>
      <c r="BJ151" s="42">
        <v>390</v>
      </c>
      <c r="BK151" s="42">
        <v>521</v>
      </c>
      <c r="BL151" s="42">
        <v>231</v>
      </c>
      <c r="BM151" s="42">
        <v>120</v>
      </c>
    </row>
    <row r="152" spans="1:65" x14ac:dyDescent="0.5">
      <c r="A152" s="44">
        <v>249</v>
      </c>
      <c r="B152" s="42">
        <v>6.07</v>
      </c>
      <c r="C152" s="42">
        <v>9.4499999999999993</v>
      </c>
      <c r="D152" s="28">
        <v>0.04</v>
      </c>
      <c r="E152" s="42">
        <v>34.6</v>
      </c>
      <c r="F152" s="42">
        <v>56</v>
      </c>
      <c r="G152" s="42">
        <v>83.9</v>
      </c>
      <c r="H152" s="42">
        <v>2.4E-2</v>
      </c>
      <c r="I152" s="42">
        <v>1.18</v>
      </c>
      <c r="J152" s="42">
        <v>0.73</v>
      </c>
      <c r="K152" s="42">
        <v>81.8</v>
      </c>
      <c r="L152" s="42">
        <v>72.5</v>
      </c>
      <c r="M152" s="42">
        <v>5.52</v>
      </c>
      <c r="N152" s="42">
        <v>58.9</v>
      </c>
      <c r="O152" s="42">
        <v>28.5</v>
      </c>
      <c r="P152" s="42">
        <v>4.8099999999999996</v>
      </c>
      <c r="Q152" s="42">
        <v>31.3</v>
      </c>
      <c r="R152" s="42">
        <v>62.5</v>
      </c>
      <c r="S152" s="42">
        <v>6.37</v>
      </c>
      <c r="T152" s="42">
        <v>25.1</v>
      </c>
      <c r="U152" s="42">
        <v>6.01</v>
      </c>
      <c r="V152" s="42">
        <v>58.9</v>
      </c>
      <c r="W152" s="42">
        <v>2.95</v>
      </c>
      <c r="X152" s="42">
        <v>55</v>
      </c>
      <c r="Y152" s="42">
        <v>2.2000000000000002</v>
      </c>
      <c r="Z152" s="42">
        <v>32</v>
      </c>
      <c r="AA152" s="42">
        <v>10.8</v>
      </c>
      <c r="AB152" s="42">
        <v>8.7200000000000006</v>
      </c>
      <c r="AC152" s="42">
        <v>20</v>
      </c>
      <c r="AD152" s="42">
        <v>12</v>
      </c>
      <c r="AE152" s="42">
        <v>28.7</v>
      </c>
      <c r="AF152" s="42">
        <v>39.299999999999997</v>
      </c>
      <c r="AG152" s="42">
        <v>8.19</v>
      </c>
      <c r="AH152" s="42">
        <v>1.78</v>
      </c>
      <c r="AI152" s="42">
        <v>15.1</v>
      </c>
      <c r="AJ152" s="42">
        <v>77.2</v>
      </c>
      <c r="AK152" s="42">
        <v>5.81</v>
      </c>
      <c r="AL152" s="42">
        <v>16.899999999999999</v>
      </c>
      <c r="AM152" s="42">
        <v>26.6</v>
      </c>
      <c r="AN152" s="42">
        <v>1.1100000000000001</v>
      </c>
      <c r="AO152" s="42">
        <v>0.49</v>
      </c>
      <c r="AP152" s="42">
        <v>2.9</v>
      </c>
      <c r="AQ152" s="42">
        <v>3.57</v>
      </c>
      <c r="AR152" s="42">
        <v>83.2</v>
      </c>
      <c r="AS152" s="42">
        <v>16.100000000000001</v>
      </c>
      <c r="AT152" s="42">
        <v>0.62</v>
      </c>
      <c r="AU152" s="42">
        <v>85.3</v>
      </c>
      <c r="AV152" s="42">
        <v>11.4</v>
      </c>
      <c r="AW152" s="42">
        <v>46.7</v>
      </c>
      <c r="AX152" s="28"/>
      <c r="AY152" s="42">
        <v>42.6</v>
      </c>
      <c r="AZ152" s="42">
        <v>1.77</v>
      </c>
      <c r="BA152" s="42">
        <v>8.9499999999999993</v>
      </c>
      <c r="BB152" s="42">
        <v>60.9</v>
      </c>
      <c r="BC152" s="42">
        <v>91.8</v>
      </c>
      <c r="BD152" s="42">
        <v>0.39</v>
      </c>
      <c r="BE152" s="42">
        <v>4.3499999999999996</v>
      </c>
      <c r="BF152" s="42">
        <v>23.9</v>
      </c>
      <c r="BG152" s="42">
        <v>-20</v>
      </c>
      <c r="BH152" s="42">
        <v>290</v>
      </c>
      <c r="BI152" s="42">
        <v>277</v>
      </c>
      <c r="BJ152" s="42">
        <v>344</v>
      </c>
      <c r="BK152" s="42">
        <v>750</v>
      </c>
      <c r="BL152" s="42">
        <v>196</v>
      </c>
      <c r="BM152" s="42">
        <v>57.3</v>
      </c>
    </row>
    <row r="153" spans="1:65" x14ac:dyDescent="0.5">
      <c r="A153" s="44">
        <v>250</v>
      </c>
      <c r="B153" s="42">
        <v>10.4</v>
      </c>
      <c r="C153" s="42">
        <v>5.85</v>
      </c>
      <c r="D153" s="28">
        <v>4.9999999999997158E-2</v>
      </c>
      <c r="E153" s="42">
        <v>41</v>
      </c>
      <c r="F153" s="42">
        <v>53.1</v>
      </c>
      <c r="G153" s="42">
        <v>74.5</v>
      </c>
      <c r="H153" s="42">
        <v>0.12</v>
      </c>
      <c r="I153" s="42">
        <v>5.96</v>
      </c>
      <c r="J153" s="42">
        <v>8.2799999999999994</v>
      </c>
      <c r="K153" s="42">
        <v>59.9</v>
      </c>
      <c r="L153" s="42">
        <v>42</v>
      </c>
      <c r="M153" s="42">
        <v>6.3</v>
      </c>
      <c r="N153" s="42">
        <v>55.1</v>
      </c>
      <c r="O153" s="42">
        <v>23.2</v>
      </c>
      <c r="P153" s="42">
        <v>9.5299999999999994</v>
      </c>
      <c r="Q153" s="42">
        <v>32.4</v>
      </c>
      <c r="R153" s="42">
        <v>58.1</v>
      </c>
      <c r="S153" s="42">
        <v>8.41</v>
      </c>
      <c r="T153" s="42">
        <v>12</v>
      </c>
      <c r="U153" s="42">
        <v>21.5</v>
      </c>
      <c r="V153" s="42">
        <v>55.1</v>
      </c>
      <c r="W153" s="42">
        <v>4.99</v>
      </c>
      <c r="X153" s="42">
        <v>53.7</v>
      </c>
      <c r="Y153" s="42">
        <v>3.04</v>
      </c>
      <c r="Z153" s="42">
        <v>30.6</v>
      </c>
      <c r="AA153" s="42">
        <v>12.7</v>
      </c>
      <c r="AB153" s="42">
        <v>16.600000000000001</v>
      </c>
      <c r="AC153" s="42">
        <v>3.01</v>
      </c>
      <c r="AD153" s="42">
        <v>10.7</v>
      </c>
      <c r="AE153" s="42">
        <v>14</v>
      </c>
      <c r="AF153" s="42">
        <v>72.3</v>
      </c>
      <c r="AG153" s="42">
        <v>12.6</v>
      </c>
      <c r="AH153" s="42">
        <v>2.5</v>
      </c>
      <c r="AI153" s="42">
        <v>32.1</v>
      </c>
      <c r="AJ153" s="42">
        <v>48.1</v>
      </c>
      <c r="AK153" s="42">
        <v>17.3</v>
      </c>
      <c r="AL153" s="42">
        <v>14.6</v>
      </c>
      <c r="AM153" s="42">
        <v>27.4</v>
      </c>
      <c r="AN153" s="42">
        <v>1.23</v>
      </c>
      <c r="AO153" s="42">
        <v>2.0499999999999998</v>
      </c>
      <c r="AP153" s="42">
        <v>2.15</v>
      </c>
      <c r="AQ153" s="42">
        <v>4.7</v>
      </c>
      <c r="AR153" s="42">
        <v>70.3</v>
      </c>
      <c r="AS153" s="42">
        <v>27.1</v>
      </c>
      <c r="AT153" s="42">
        <v>2.5299999999999998</v>
      </c>
      <c r="AU153" s="42">
        <v>70</v>
      </c>
      <c r="AV153" s="42">
        <v>25.3</v>
      </c>
      <c r="AW153" s="42">
        <v>47.6</v>
      </c>
      <c r="AX153" s="28"/>
      <c r="AY153" s="42">
        <v>41.6</v>
      </c>
      <c r="AZ153" s="42">
        <v>0.82</v>
      </c>
      <c r="BA153" s="42">
        <v>9.19</v>
      </c>
      <c r="BB153" s="42">
        <v>64.900000000000006</v>
      </c>
      <c r="BC153" s="42">
        <v>55.6</v>
      </c>
      <c r="BD153" s="42">
        <v>0.39</v>
      </c>
      <c r="BE153" s="42">
        <v>3.92</v>
      </c>
      <c r="BF153" s="42">
        <v>6.3</v>
      </c>
      <c r="BG153" s="42">
        <v>-1.2E-2</v>
      </c>
      <c r="BH153" s="42">
        <v>272</v>
      </c>
      <c r="BI153" s="42">
        <v>381</v>
      </c>
      <c r="BJ153" s="42">
        <v>412</v>
      </c>
      <c r="BK153" s="42">
        <v>809</v>
      </c>
      <c r="BL153" s="42">
        <v>360</v>
      </c>
      <c r="BM153" s="42">
        <v>32.299999999999997</v>
      </c>
    </row>
  </sheetData>
  <autoFilter ref="A1:BM153" xr:uid="{B58E1F56-6F33-4515-9CD8-30EABBDB95AE}">
    <sortState xmlns:xlrd2="http://schemas.microsoft.com/office/spreadsheetml/2017/richdata2" ref="A2:BM153">
      <sortCondition ref="A1:A153"/>
    </sortState>
  </autoFilter>
  <conditionalFormatting sqref="B30:S30">
    <cfRule type="containsText" dxfId="2" priority="3" operator="containsText" text="Unchecked">
      <formula>NOT(ISERROR(SEARCH("Unchecked",B30)))</formula>
    </cfRule>
  </conditionalFormatting>
  <conditionalFormatting sqref="A1:A153">
    <cfRule type="containsText" dxfId="0" priority="1" operator="containsText" text="Unchecked">
      <formula>NOT(ISERROR(SEARCH("Unchecked",A1)))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Tregs</vt:lpstr>
      <vt:lpstr>SYMPHONY</vt:lpstr>
      <vt:lpstr>Whole cohort SYMPHONY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Ballouz</dc:creator>
  <cp:lastModifiedBy>Sara Ballouz</cp:lastModifiedBy>
  <dcterms:created xsi:type="dcterms:W3CDTF">2026-03-03T20:17:53Z</dcterms:created>
  <dcterms:modified xsi:type="dcterms:W3CDTF">2026-03-03T20:51:50Z</dcterms:modified>
</cp:coreProperties>
</file>